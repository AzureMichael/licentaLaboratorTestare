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ROZALI~1.MOG\AppData\Local\Temp\Rar$DIa7284.34736\"/>
    </mc:Choice>
  </mc:AlternateContent>
  <xr:revisionPtr revIDLastSave="0" documentId="13_ncr:1_{66DE7146-F6B1-4E25-ABD6-34BA7AE7263C}" xr6:coauthVersionLast="45" xr6:coauthVersionMax="45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Sheet1" sheetId="1" r:id="rId1"/>
    <sheet name="Foaie1" sheetId="2" r:id="rId2"/>
    <sheet name="Foaie2" sheetId="3" r:id="rId3"/>
    <sheet name="Foaie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8" i="2" l="1"/>
  <c r="N100" i="1" l="1"/>
  <c r="L100" i="1"/>
  <c r="M100" i="1"/>
  <c r="C99" i="1" l="1"/>
  <c r="D99" i="1"/>
  <c r="E99" i="1"/>
  <c r="F99" i="1"/>
  <c r="G99" i="1"/>
  <c r="H99" i="1"/>
  <c r="I99" i="1"/>
  <c r="J99" i="1"/>
  <c r="C96" i="1"/>
  <c r="D96" i="1"/>
  <c r="E96" i="1"/>
  <c r="F96" i="1"/>
  <c r="G96" i="1"/>
  <c r="H96" i="1"/>
  <c r="I96" i="1"/>
  <c r="J96" i="1"/>
  <c r="C93" i="1"/>
  <c r="D93" i="1"/>
  <c r="E93" i="1"/>
  <c r="F93" i="1"/>
  <c r="G93" i="1"/>
  <c r="H93" i="1"/>
  <c r="I93" i="1"/>
  <c r="J93" i="1"/>
  <c r="C88" i="1"/>
  <c r="D88" i="1"/>
  <c r="E88" i="1"/>
  <c r="F88" i="1"/>
  <c r="G88" i="1"/>
  <c r="H88" i="1"/>
  <c r="I88" i="1"/>
  <c r="J88" i="1"/>
  <c r="C85" i="1"/>
  <c r="D85" i="1"/>
  <c r="E85" i="1"/>
  <c r="F85" i="1"/>
  <c r="G85" i="1"/>
  <c r="H85" i="1"/>
  <c r="I85" i="1"/>
  <c r="J85" i="1"/>
  <c r="C78" i="1"/>
  <c r="D78" i="1"/>
  <c r="E78" i="1"/>
  <c r="F78" i="1"/>
  <c r="G78" i="1"/>
  <c r="H78" i="1"/>
  <c r="I78" i="1"/>
  <c r="J78" i="1"/>
  <c r="C71" i="1"/>
  <c r="D71" i="1"/>
  <c r="E71" i="1"/>
  <c r="F71" i="1"/>
  <c r="G71" i="1"/>
  <c r="H71" i="1"/>
  <c r="I71" i="1"/>
  <c r="J71" i="1"/>
  <c r="C56" i="1"/>
  <c r="D56" i="1"/>
  <c r="E56" i="1"/>
  <c r="F56" i="1"/>
  <c r="G56" i="1"/>
  <c r="H56" i="1"/>
  <c r="I56" i="1"/>
  <c r="J56" i="1"/>
  <c r="C50" i="1"/>
  <c r="D50" i="1"/>
  <c r="E50" i="1"/>
  <c r="F50" i="1"/>
  <c r="G50" i="1"/>
  <c r="H50" i="1"/>
  <c r="I50" i="1"/>
  <c r="J50" i="1"/>
  <c r="C40" i="1"/>
  <c r="D40" i="1"/>
  <c r="E40" i="1"/>
  <c r="F40" i="1"/>
  <c r="G40" i="1"/>
  <c r="H40" i="1"/>
  <c r="I40" i="1"/>
  <c r="J40" i="1"/>
  <c r="C33" i="1"/>
  <c r="D33" i="1"/>
  <c r="E33" i="1"/>
  <c r="F33" i="1"/>
  <c r="G33" i="1"/>
  <c r="H33" i="1"/>
  <c r="I33" i="1"/>
  <c r="J33" i="1"/>
  <c r="C29" i="1"/>
  <c r="D29" i="1"/>
  <c r="E29" i="1"/>
  <c r="F29" i="1"/>
  <c r="G29" i="1"/>
  <c r="H29" i="1"/>
  <c r="I29" i="1"/>
  <c r="J29" i="1"/>
  <c r="C23" i="1"/>
  <c r="D23" i="1"/>
  <c r="E23" i="1"/>
  <c r="F23" i="1"/>
  <c r="G23" i="1"/>
  <c r="H23" i="1"/>
  <c r="I23" i="1"/>
  <c r="J23" i="1"/>
  <c r="C19" i="1"/>
  <c r="D19" i="1"/>
  <c r="E19" i="1"/>
  <c r="F19" i="1"/>
  <c r="G19" i="1"/>
  <c r="H19" i="1"/>
  <c r="I19" i="1"/>
  <c r="J19" i="1"/>
  <c r="C13" i="1"/>
  <c r="D13" i="1"/>
  <c r="E13" i="1"/>
  <c r="F13" i="1"/>
  <c r="G13" i="1"/>
  <c r="H13" i="1"/>
  <c r="I13" i="1"/>
  <c r="J13" i="1"/>
  <c r="B10" i="1"/>
  <c r="C10" i="1"/>
  <c r="D10" i="1"/>
  <c r="E10" i="1"/>
  <c r="F10" i="1"/>
  <c r="G10" i="1"/>
  <c r="H10" i="1"/>
  <c r="I10" i="1"/>
  <c r="J10" i="1"/>
  <c r="B99" i="1"/>
  <c r="B96" i="1"/>
  <c r="B93" i="1"/>
  <c r="B88" i="1"/>
  <c r="B85" i="1"/>
  <c r="B78" i="1"/>
  <c r="B71" i="1"/>
  <c r="B56" i="1"/>
  <c r="B50" i="1"/>
  <c r="B40" i="1"/>
  <c r="B33" i="1"/>
  <c r="B29" i="1"/>
  <c r="B23" i="1"/>
  <c r="B19" i="1"/>
  <c r="B13" i="1"/>
</calcChain>
</file>

<file path=xl/sharedStrings.xml><?xml version="1.0" encoding="utf-8"?>
<sst xmlns="http://schemas.openxmlformats.org/spreadsheetml/2006/main" count="239" uniqueCount="145">
  <si>
    <t>62 evenimente</t>
  </si>
  <si>
    <t>Retea Bilete.ro</t>
  </si>
  <si>
    <t>Casierii Org.</t>
  </si>
  <si>
    <t>Nr bilete</t>
  </si>
  <si>
    <t>Total</t>
  </si>
  <si>
    <t>Discount</t>
  </si>
  <si>
    <t>Organizator</t>
  </si>
  <si>
    <t>Cost Print</t>
  </si>
  <si>
    <t>Liliacul - 29 dec 2019</t>
  </si>
  <si>
    <t>Winter Delights - 21 dec 2019</t>
  </si>
  <si>
    <t>Winter Delights - 20 dec 2019</t>
  </si>
  <si>
    <t>Spărgătorul de Nuci - 16 dec 2019</t>
  </si>
  <si>
    <t>Spărgătorul de Nuci - 14 dec 2019</t>
  </si>
  <si>
    <t>Don Giovanni - 13 dec 2019</t>
  </si>
  <si>
    <t>Trubadurul - 11 dec 2019</t>
  </si>
  <si>
    <t>Spărgătorul de Nuci - 08 dec 2019</t>
  </si>
  <si>
    <t>Boema - 06 dec 2019</t>
  </si>
  <si>
    <t>Spărgătorul de Nuci - 04 dec 2019</t>
  </si>
  <si>
    <t>Să descoperim Opera și tainele ei - 02 dec 2019</t>
  </si>
  <si>
    <t>Spargatorul de Nuci - 30 nov 2019 h 18:30</t>
  </si>
  <si>
    <t>Spărgătorul de Nuci - PREMIERA - 29 nov 2019</t>
  </si>
  <si>
    <t>Văduva Veselă - 24 nov 2019</t>
  </si>
  <si>
    <t>Bal Mascat - 22 nov 2019</t>
  </si>
  <si>
    <t>Gala Goethe - 15 nov 2019</t>
  </si>
  <si>
    <t>Macbeth - 10 nov 2019</t>
  </si>
  <si>
    <t>Giselle - 06 nov 2019</t>
  </si>
  <si>
    <t>Requiem Parastas - 01 nov 2019 ANULAT</t>
  </si>
  <si>
    <t>City Beat Carmen - 30 oct 2019</t>
  </si>
  <si>
    <t>Orfeu în infern - RELUARE - 27 oct 2019</t>
  </si>
  <si>
    <t>Regal de Opera - 23 oct 2019</t>
  </si>
  <si>
    <t>Să descoperim Opera și tainele ei - 21 oct 2019 h 10:00</t>
  </si>
  <si>
    <t>Coppélia - 19 oct 2019</t>
  </si>
  <si>
    <t>Văduva Veselă - 16 oct 2019</t>
  </si>
  <si>
    <t>Bărbierul din Sevilla - 04 oct 2019</t>
  </si>
  <si>
    <t>Don Quijote - 02 oct 2019</t>
  </si>
  <si>
    <t>Macbeth - PREMIERA - 29 sept 2019</t>
  </si>
  <si>
    <t>Madama Butterfly - 26 iun 2019</t>
  </si>
  <si>
    <t>Don Giovanni - 23 iun 2019</t>
  </si>
  <si>
    <t>My Fair Lady - 14 iun 2019</t>
  </si>
  <si>
    <t>Bărbierul din Sevilla - 12 iun 2019</t>
  </si>
  <si>
    <t>Aida - 09 iun 2019</t>
  </si>
  <si>
    <t>Coppélia - 05 iun 2019</t>
  </si>
  <si>
    <t>Tineri artisti pe scena operei - 01 iun 2019</t>
  </si>
  <si>
    <t>Turandot - 31 mai 2019</t>
  </si>
  <si>
    <t>Zorba - 26 mai 2019</t>
  </si>
  <si>
    <t>Zorba - 25 mai 2019</t>
  </si>
  <si>
    <t>La bohème - 17 mai 2019</t>
  </si>
  <si>
    <t>Don Giovanni - PREMIERA - 08 mai 2019</t>
  </si>
  <si>
    <t>Rigoletto - 19 apr 2019</t>
  </si>
  <si>
    <t>La vision de Saül - Oratoriul de Paști - 14 apr 2019</t>
  </si>
  <si>
    <t>Giselle - 05 apr 2019</t>
  </si>
  <si>
    <t>Tosca - 31 mar 2019</t>
  </si>
  <si>
    <t>Academia Națională de Muzică "Gheorghe Dima " - 29 mar 2019</t>
  </si>
  <si>
    <t>Coppélia - 22 mar 2019</t>
  </si>
  <si>
    <t>Puritanii - 17 mar 2019</t>
  </si>
  <si>
    <t>My Fair Lady - 03 mar 2019</t>
  </si>
  <si>
    <t>My Fair Lady - 01 mar 2019</t>
  </si>
  <si>
    <t>Bal Mascat - 22 feb 2019</t>
  </si>
  <si>
    <t>Don Quijote - 20 feb 2019</t>
  </si>
  <si>
    <t>Evgheni Oneghin - 17 feb 2019</t>
  </si>
  <si>
    <t>City Beat Carmen - 13 feb 2019</t>
  </si>
  <si>
    <t>Lăsați-mă să cânt - 08 feb 2019</t>
  </si>
  <si>
    <t>Nabucco - 03 feb 2019</t>
  </si>
  <si>
    <t>City Beat Carmen - 01 feb 2019</t>
  </si>
  <si>
    <t>Abonamente Opera Nationala Romana Cluj - 01 feb-31 dec 2019</t>
  </si>
  <si>
    <t>Traviata - 27 ian 2019</t>
  </si>
  <si>
    <t>Traviata - 26 ian 2019</t>
  </si>
  <si>
    <t>Trubadurul - 20 ian 2019</t>
  </si>
  <si>
    <t>Don Quijote - 16 ian 2019</t>
  </si>
  <si>
    <t>Die Fledermaus - 11 ian 2019</t>
  </si>
  <si>
    <t xml:space="preserve">    T O T A L </t>
  </si>
  <si>
    <t>nr.spect.</t>
  </si>
  <si>
    <t>nr.bilete</t>
  </si>
  <si>
    <t>val.totala</t>
  </si>
  <si>
    <t>val./spect.</t>
  </si>
  <si>
    <t>% din total nr.bil</t>
  </si>
  <si>
    <t>% din total încasări</t>
  </si>
  <si>
    <t>nr.cr.</t>
  </si>
  <si>
    <t xml:space="preserve">            T O T A L </t>
  </si>
  <si>
    <t>BILETE / SPECTACOLE , VALOARE TOTALĂ</t>
  </si>
  <si>
    <t>NUMĂR SPECTATORI   (BILETE)</t>
  </si>
  <si>
    <t xml:space="preserve">Academia Națională de Muzică "Gheorghe Dima " </t>
  </si>
  <si>
    <t xml:space="preserve">Aida </t>
  </si>
  <si>
    <t xml:space="preserve">Bal Mascat - </t>
  </si>
  <si>
    <t>Bărbierul din Sevilla -</t>
  </si>
  <si>
    <t xml:space="preserve">Boema - </t>
  </si>
  <si>
    <t>City Beat Carmen -</t>
  </si>
  <si>
    <t>Coppélia -</t>
  </si>
  <si>
    <t xml:space="preserve">Die Fledermaus - </t>
  </si>
  <si>
    <t xml:space="preserve">Don Giovanni - </t>
  </si>
  <si>
    <t xml:space="preserve">Don Quijote - </t>
  </si>
  <si>
    <t>Evgheni Oneghin -</t>
  </si>
  <si>
    <t xml:space="preserve">Gala Goethe </t>
  </si>
  <si>
    <t xml:space="preserve">Giselle - </t>
  </si>
  <si>
    <t xml:space="preserve">La bohème - </t>
  </si>
  <si>
    <t xml:space="preserve">La vision de Saül - Oratoriul de Paști - </t>
  </si>
  <si>
    <t>Lăsați-mă să cânt -</t>
  </si>
  <si>
    <t xml:space="preserve">Liliacul - </t>
  </si>
  <si>
    <t>Macbeth -</t>
  </si>
  <si>
    <t xml:space="preserve">Madama Butterfly - </t>
  </si>
  <si>
    <t xml:space="preserve">My Fair Lady - </t>
  </si>
  <si>
    <t xml:space="preserve">Nabucco - </t>
  </si>
  <si>
    <t xml:space="preserve">Orfeu în infern </t>
  </si>
  <si>
    <t>Puritanii -</t>
  </si>
  <si>
    <t>Regal de Opera</t>
  </si>
  <si>
    <t xml:space="preserve">Rigoletto - </t>
  </si>
  <si>
    <t xml:space="preserve">Să descoperim Opera și tainele ei </t>
  </si>
  <si>
    <t>Spărgătorul de Nuci - PREMIERA</t>
  </si>
  <si>
    <t xml:space="preserve">Tineri artisti pe scena operei - </t>
  </si>
  <si>
    <t>Tosca -</t>
  </si>
  <si>
    <t xml:space="preserve">Traviata </t>
  </si>
  <si>
    <t xml:space="preserve">Trubadurul - </t>
  </si>
  <si>
    <t xml:space="preserve">Turandot - </t>
  </si>
  <si>
    <t xml:space="preserve">Văduva Veselă - </t>
  </si>
  <si>
    <t xml:space="preserve">Zorba </t>
  </si>
  <si>
    <t xml:space="preserve">Winter Delights </t>
  </si>
  <si>
    <t>Aida -</t>
  </si>
  <si>
    <t xml:space="preserve">Bărbierul din Sevilla - </t>
  </si>
  <si>
    <t xml:space="preserve">City Beat Carmen - </t>
  </si>
  <si>
    <t xml:space="preserve">Don Quijote </t>
  </si>
  <si>
    <t xml:space="preserve">Evgheni Oneghin </t>
  </si>
  <si>
    <t>Gala Goethe -</t>
  </si>
  <si>
    <t>Giselle -</t>
  </si>
  <si>
    <t>La bohème -</t>
  </si>
  <si>
    <t xml:space="preserve">Lăsați-mă să cânt - </t>
  </si>
  <si>
    <t>Liliacul -</t>
  </si>
  <si>
    <t>My Fair Lady -</t>
  </si>
  <si>
    <t>Orfeu în infern -</t>
  </si>
  <si>
    <t xml:space="preserve">Puritanii - </t>
  </si>
  <si>
    <t xml:space="preserve">Regal de Opera - </t>
  </si>
  <si>
    <t>Rigoletto -</t>
  </si>
  <si>
    <t>Să descoperim Opera și tainele ei -</t>
  </si>
  <si>
    <t>Spărgătorul de Nuci - PREMIERA -</t>
  </si>
  <si>
    <t>Tineri artisti pe scena operei -</t>
  </si>
  <si>
    <t>Traviata -</t>
  </si>
  <si>
    <t>Trubadurul -</t>
  </si>
  <si>
    <t>Turandot -</t>
  </si>
  <si>
    <t>Zorba -</t>
  </si>
  <si>
    <t xml:space="preserve">Academia Națională de Muzică "Gheorghe Dima </t>
  </si>
  <si>
    <t xml:space="preserve"> evenimente</t>
  </si>
  <si>
    <t xml:space="preserve">Academia Națională de Muzică "Gheorghe Dima " - </t>
  </si>
  <si>
    <t xml:space="preserve">VALOARE BILETE </t>
  </si>
  <si>
    <t>NUMĂR DE BILETE / NUMĂR DE SPECTATORI = 42.992</t>
  </si>
  <si>
    <t xml:space="preserve">OPERA NAȚIONALĂ ROMÂNĂ CLUJ-NAPOCA   </t>
  </si>
  <si>
    <t>NUMĂR DE DE BILETE /SPECTACOL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</si>
</sst>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A7D00"/>
      <name val="Calibri"/>
      <family val="2"/>
      <charset val="238"/>
      <scheme val="minor"/>
    </font>
    <font>
      <sz val="1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3" fillId="9" borderId="5" applyNumberFormat="0" applyAlignment="0" applyProtection="0"/>
  </cellStyleXfs>
  <cellXfs count="64">
    <xf numFmtId="0" fontId="0" fillId="0" borderId="0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1" fontId="0" fillId="0" borderId="1" xfId="0" applyNumberFormat="1" applyFont="1" applyFill="1" applyBorder="1"/>
    <xf numFmtId="1" fontId="0" fillId="4" borderId="1" xfId="0" applyNumberFormat="1" applyFont="1" applyFill="1" applyBorder="1"/>
    <xf numFmtId="1" fontId="0" fillId="3" borderId="1" xfId="0" applyNumberFormat="1" applyFont="1" applyFill="1" applyBorder="1"/>
    <xf numFmtId="2" fontId="0" fillId="0" borderId="1" xfId="0" applyNumberFormat="1" applyFont="1" applyFill="1" applyBorder="1"/>
    <xf numFmtId="2" fontId="0" fillId="4" borderId="1" xfId="0" applyNumberFormat="1" applyFont="1" applyFill="1" applyBorder="1"/>
    <xf numFmtId="0" fontId="1" fillId="5" borderId="1" xfId="0" applyFont="1" applyFill="1" applyBorder="1" applyAlignment="1">
      <alignment horizontal="left" vertical="center" wrapText="1"/>
    </xf>
    <xf numFmtId="0" fontId="0" fillId="5" borderId="0" xfId="0" applyFont="1" applyFill="1" applyBorder="1"/>
    <xf numFmtId="2" fontId="0" fillId="5" borderId="1" xfId="0" applyNumberFormat="1" applyFont="1" applyFill="1" applyBorder="1"/>
    <xf numFmtId="2" fontId="0" fillId="3" borderId="1" xfId="0" applyNumberFormat="1" applyFont="1" applyFill="1" applyBorder="1"/>
    <xf numFmtId="0" fontId="0" fillId="3" borderId="1" xfId="0" applyFont="1" applyFill="1" applyBorder="1"/>
    <xf numFmtId="0" fontId="0" fillId="0" borderId="1" xfId="0" applyFont="1" applyFill="1" applyBorder="1"/>
    <xf numFmtId="1" fontId="2" fillId="2" borderId="1" xfId="0" applyNumberFormat="1" applyFont="1" applyFill="1" applyBorder="1"/>
    <xf numFmtId="2" fontId="2" fillId="2" borderId="1" xfId="0" applyNumberFormat="1" applyFont="1" applyFill="1" applyBorder="1"/>
    <xf numFmtId="0" fontId="0" fillId="4" borderId="0" xfId="0" applyFont="1" applyFill="1" applyBorder="1"/>
    <xf numFmtId="2" fontId="0" fillId="6" borderId="1" xfId="0" applyNumberFormat="1" applyFont="1" applyFill="1" applyBorder="1"/>
    <xf numFmtId="1" fontId="0" fillId="3" borderId="2" xfId="0" applyNumberFormat="1" applyFont="1" applyFill="1" applyBorder="1"/>
    <xf numFmtId="2" fontId="0" fillId="3" borderId="2" xfId="0" applyNumberFormat="1" applyFont="1" applyFill="1" applyBorder="1"/>
    <xf numFmtId="2" fontId="0" fillId="6" borderId="2" xfId="0" applyNumberFormat="1" applyFont="1" applyFill="1" applyBorder="1"/>
    <xf numFmtId="0" fontId="2" fillId="2" borderId="1" xfId="0" applyFont="1" applyFill="1" applyBorder="1"/>
    <xf numFmtId="2" fontId="2" fillId="5" borderId="1" xfId="0" applyNumberFormat="1" applyFont="1" applyFill="1" applyBorder="1"/>
    <xf numFmtId="0" fontId="0" fillId="4" borderId="1" xfId="0" applyFont="1" applyFill="1" applyBorder="1"/>
    <xf numFmtId="1" fontId="0" fillId="3" borderId="3" xfId="0" applyNumberFormat="1" applyFont="1" applyFill="1" applyBorder="1"/>
    <xf numFmtId="2" fontId="0" fillId="3" borderId="3" xfId="0" applyNumberFormat="1" applyFont="1" applyFill="1" applyBorder="1"/>
    <xf numFmtId="2" fontId="0" fillId="5" borderId="3" xfId="0" applyNumberFormat="1" applyFont="1" applyFill="1" applyBorder="1"/>
    <xf numFmtId="0" fontId="0" fillId="0" borderId="1" xfId="0" applyFont="1" applyFill="1" applyBorder="1" applyAlignment="1">
      <alignment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1" fontId="0" fillId="7" borderId="1" xfId="0" applyNumberFormat="1" applyFont="1" applyFill="1" applyBorder="1"/>
    <xf numFmtId="1" fontId="0" fillId="7" borderId="3" xfId="0" applyNumberFormat="1" applyFont="1" applyFill="1" applyBorder="1"/>
    <xf numFmtId="1" fontId="2" fillId="7" borderId="1" xfId="0" applyNumberFormat="1" applyFont="1" applyFill="1" applyBorder="1"/>
    <xf numFmtId="0" fontId="0" fillId="7" borderId="0" xfId="0" applyFont="1" applyFill="1" applyBorder="1"/>
    <xf numFmtId="1" fontId="0" fillId="8" borderId="1" xfId="0" applyNumberFormat="1" applyFont="1" applyFill="1" applyBorder="1"/>
    <xf numFmtId="1" fontId="0" fillId="8" borderId="2" xfId="0" applyNumberFormat="1" applyFont="1" applyFill="1" applyBorder="1"/>
    <xf numFmtId="1" fontId="0" fillId="4" borderId="3" xfId="0" applyNumberFormat="1" applyFont="1" applyFill="1" applyBorder="1"/>
    <xf numFmtId="0" fontId="0" fillId="2" borderId="1" xfId="0" applyFont="1" applyFill="1" applyBorder="1"/>
    <xf numFmtId="0" fontId="3" fillId="9" borderId="5" xfId="1"/>
    <xf numFmtId="0" fontId="4" fillId="0" borderId="1" xfId="0" applyFont="1" applyFill="1" applyBorder="1"/>
    <xf numFmtId="0" fontId="2" fillId="3" borderId="1" xfId="0" applyFont="1" applyFill="1" applyBorder="1"/>
    <xf numFmtId="0" fontId="2" fillId="0" borderId="1" xfId="0" applyFont="1" applyFill="1" applyBorder="1"/>
    <xf numFmtId="0" fontId="4" fillId="0" borderId="1" xfId="0" applyFont="1" applyFill="1" applyBorder="1" applyAlignment="1">
      <alignment wrapText="1"/>
    </xf>
    <xf numFmtId="3" fontId="7" fillId="0" borderId="1" xfId="0" applyNumberFormat="1" applyFont="1" applyFill="1" applyBorder="1"/>
    <xf numFmtId="3" fontId="6" fillId="0" borderId="1" xfId="0" applyNumberFormat="1" applyFont="1" applyFill="1" applyBorder="1"/>
    <xf numFmtId="0" fontId="0" fillId="0" borderId="0" xfId="0" applyFont="1" applyFill="1" applyBorder="1" applyAlignment="1">
      <alignment wrapText="1"/>
    </xf>
    <xf numFmtId="0" fontId="9" fillId="3" borderId="1" xfId="0" applyFont="1" applyFill="1" applyBorder="1" applyAlignment="1">
      <alignment wrapText="1"/>
    </xf>
    <xf numFmtId="0" fontId="9" fillId="3" borderId="1" xfId="0" applyFont="1" applyFill="1" applyBorder="1"/>
    <xf numFmtId="0" fontId="8" fillId="0" borderId="1" xfId="0" applyFont="1" applyFill="1" applyBorder="1" applyAlignment="1">
      <alignment wrapText="1"/>
    </xf>
    <xf numFmtId="0" fontId="8" fillId="0" borderId="1" xfId="0" applyFont="1" applyFill="1" applyBorder="1"/>
    <xf numFmtId="0" fontId="9" fillId="0" borderId="1" xfId="0" applyFont="1" applyFill="1" applyBorder="1" applyAlignment="1">
      <alignment wrapText="1"/>
    </xf>
    <xf numFmtId="0" fontId="9" fillId="0" borderId="1" xfId="0" applyFont="1" applyFill="1" applyBorder="1"/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6" fillId="0" borderId="0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wrapText="1"/>
    </xf>
    <xf numFmtId="0" fontId="8" fillId="2" borderId="1" xfId="0" applyFont="1" applyFill="1" applyBorder="1"/>
  </cellXfs>
  <cellStyles count="2">
    <cellStyle name="Calcul" xfId="1" builtinId="22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200"/>
      <c:depthPercent val="100"/>
      <c:rAngAx val="0"/>
      <c:perspective val="4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5.7665498618955355E-2"/>
          <c:w val="1"/>
          <c:h val="0.4854554698987234"/>
        </c:manualLayout>
      </c:layout>
      <c:pie3DChart>
        <c:varyColors val="1"/>
        <c:ser>
          <c:idx val="0"/>
          <c:order val="0"/>
          <c:tx>
            <c:strRef>
              <c:f>Foaie1!$D$2</c:f>
              <c:strCache>
                <c:ptCount val="1"/>
                <c:pt idx="0">
                  <c:v>nr.bilete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5859-423A-80BD-F9EA4CB803E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A-5859-423A-80BD-F9EA4CB803E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5859-423A-80BD-F9EA4CB803E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C-5859-423A-80BD-F9EA4CB803E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5859-423A-80BD-F9EA4CB803E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5859-423A-80BD-F9EA4CB803E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5859-423A-80BD-F9EA4CB803E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0-5859-423A-80BD-F9EA4CB803E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5859-423A-80BD-F9EA4CB803E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5859-423A-80BD-F9EA4CB803E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2-5859-423A-80BD-F9EA4CB803EE}"/>
              </c:ext>
            </c:extLst>
          </c:dPt>
          <c:dPt>
            <c:idx val="1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5859-423A-80BD-F9EA4CB803E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4-5859-423A-80BD-F9EA4CB803E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5859-423A-80BD-F9EA4CB803E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6-5859-423A-80BD-F9EA4CB803E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5859-423A-80BD-F9EA4CB803E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8-5859-423A-80BD-F9EA4CB803E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8-5859-423A-80BD-F9EA4CB803EE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5859-423A-80BD-F9EA4CB803EE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4-5859-423A-80BD-F9EA4CB803EE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A-5859-423A-80BD-F9EA4CB803EE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6-5859-423A-80BD-F9EA4CB803EE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5859-423A-80BD-F9EA4CB803EE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C-5859-423A-80BD-F9EA4CB803EE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5859-423A-80BD-F9EA4CB803EE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E-5859-423A-80BD-F9EA4CB803EE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5859-423A-80BD-F9EA4CB803EE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5859-423A-80BD-F9EA4CB803EE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0-5859-423A-80BD-F9EA4CB803EE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5859-423A-80BD-F9EA4CB803EE}"/>
              </c:ext>
            </c:extLst>
          </c:dPt>
          <c:dPt>
            <c:idx val="30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2-5859-423A-80BD-F9EA4CB803EE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5859-423A-80BD-F9EA4CB803EE}"/>
              </c:ext>
            </c:extLst>
          </c:dPt>
          <c:dPt>
            <c:idx val="3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4-5859-423A-80BD-F9EA4CB803EE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5859-423A-80BD-F9EA4CB803EE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6-5859-423A-80BD-F9EA4CB803EE}"/>
              </c:ext>
            </c:extLst>
          </c:dPt>
          <c:dLbls>
            <c:dLbl>
              <c:idx val="1"/>
              <c:layout>
                <c:manualLayout>
                  <c:x val="2.1071115013169446E-2"/>
                  <c:y val="-8.3769633507853412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59-423A-80BD-F9EA4CB803EE}"/>
                </c:ext>
              </c:extLst>
            </c:dLbl>
            <c:dLbl>
              <c:idx val="3"/>
              <c:layout>
                <c:manualLayout>
                  <c:x val="1.2671595913781707E-2"/>
                  <c:y val="-3.682393555811277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59-423A-80BD-F9EA4CB803EE}"/>
                </c:ext>
              </c:extLst>
            </c:dLbl>
            <c:dLbl>
              <c:idx val="4"/>
              <c:layout>
                <c:manualLayout>
                  <c:x val="4.2238653045939024E-3"/>
                  <c:y val="-5.523590333716915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859-423A-80BD-F9EA4CB803EE}"/>
                </c:ext>
              </c:extLst>
            </c:dLbl>
            <c:dLbl>
              <c:idx val="5"/>
              <c:layout>
                <c:manualLayout>
                  <c:x val="4.2238653045939024E-3"/>
                  <c:y val="-8.285385500575373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59-423A-80BD-F9EA4CB803EE}"/>
                </c:ext>
              </c:extLst>
            </c:dLbl>
            <c:dLbl>
              <c:idx val="6"/>
              <c:layout>
                <c:manualLayout>
                  <c:x val="0"/>
                  <c:y val="-8.1319524357499062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859-423A-80BD-F9EA4CB803EE}"/>
                </c:ext>
              </c:extLst>
            </c:dLbl>
            <c:dLbl>
              <c:idx val="8"/>
              <c:layout>
                <c:manualLayout>
                  <c:x val="0.1068258522118449"/>
                  <c:y val="1.4329884157150512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59-423A-80BD-F9EA4CB803EE}"/>
                </c:ext>
              </c:extLst>
            </c:dLbl>
            <c:dLbl>
              <c:idx val="9"/>
              <c:layout>
                <c:manualLayout>
                  <c:x val="9.013754755633592E-2"/>
                  <c:y val="2.652705061082024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59-423A-80BD-F9EA4CB803EE}"/>
                </c:ext>
              </c:extLst>
            </c:dLbl>
            <c:dLbl>
              <c:idx val="10"/>
              <c:layout>
                <c:manualLayout>
                  <c:x val="-5.0336552531460368E-2"/>
                  <c:y val="1.535776614310645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859-423A-80BD-F9EA4CB803EE}"/>
                </c:ext>
              </c:extLst>
            </c:dLbl>
            <c:dLbl>
              <c:idx val="11"/>
              <c:layout>
                <c:manualLayout>
                  <c:x val="-4.9165935030728754E-2"/>
                  <c:y val="-4.1884816753926706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859-423A-80BD-F9EA4CB803EE}"/>
                </c:ext>
              </c:extLst>
            </c:dLbl>
            <c:dLbl>
              <c:idx val="12"/>
              <c:layout>
                <c:manualLayout>
                  <c:x val="0"/>
                  <c:y val="2.5130890052356022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59-423A-80BD-F9EA4CB803EE}"/>
                </c:ext>
              </c:extLst>
            </c:dLbl>
            <c:dLbl>
              <c:idx val="14"/>
              <c:layout>
                <c:manualLayout>
                  <c:x val="-0.16358664478090998"/>
                  <c:y val="-9.4639205772466019E-3"/>
                </c:manualLayout>
              </c:layout>
              <c:tx>
                <c:rich>
                  <a:bodyPr/>
                  <a:lstStyle/>
                  <a:p>
                    <a:fld id="{BCA36146-2997-4D05-B97E-4B5AD94617F4}" type="CATEGORYNAME">
                      <a:rPr lang="en-US"/>
                      <a:pPr/>
                      <a:t>[NUME CATEGORIE]</a:t>
                    </a:fld>
                    <a:r>
                      <a:rPr lang="en-US"/>
                      <a:t>; </a:t>
                    </a:r>
                    <a:fld id="{CCDFA163-65B6-48AE-9508-5B775F684A8C}" type="VALUE">
                      <a:rPr lang="en-US"/>
                      <a:pPr/>
                      <a:t>[VALOARE]</a:t>
                    </a:fld>
                    <a:r>
                      <a:rPr lang="en-US"/>
                      <a:t>; </a:t>
                    </a:r>
                    <a:fld id="{957671E3-C5A4-4D6B-B86A-EF3F9D6844E4}" type="PERCENTAGE">
                      <a:rPr lang="en-US"/>
                      <a:pPr/>
                      <a:t>[PROCENT]</a:t>
                    </a:fld>
                    <a:endParaRPr lang="en-US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6-5859-423A-80BD-F9EA4CB803EE}"/>
                </c:ext>
              </c:extLst>
            </c:dLbl>
            <c:dLbl>
              <c:idx val="15"/>
              <c:layout>
                <c:manualLayout>
                  <c:x val="-5.8530828949278614E-2"/>
                  <c:y val="-3.9451684244156696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859-423A-80BD-F9EA4CB803EE}"/>
                </c:ext>
              </c:extLst>
            </c:dLbl>
            <c:dLbl>
              <c:idx val="16"/>
              <c:layout>
                <c:manualLayout>
                  <c:x val="-5.3848405033655254E-2"/>
                  <c:y val="-5.3493809144620234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59-423A-80BD-F9EA4CB803EE}"/>
                </c:ext>
              </c:extLst>
            </c:dLbl>
            <c:dLbl>
              <c:idx val="17"/>
              <c:layout>
                <c:manualLayout>
                  <c:x val="-7.1992884120389247E-2"/>
                  <c:y val="3.35214852070192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59-423A-80BD-F9EA4CB803EE}"/>
                </c:ext>
              </c:extLst>
            </c:dLbl>
            <c:dLbl>
              <c:idx val="18"/>
              <c:layout>
                <c:manualLayout>
                  <c:x val="7.3748902546093065E-2"/>
                  <c:y val="-1.6753926701570682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859-423A-80BD-F9EA4CB803EE}"/>
                </c:ext>
              </c:extLst>
            </c:dLbl>
            <c:dLbl>
              <c:idx val="19"/>
              <c:layout>
                <c:manualLayout>
                  <c:x val="-0.12525607257828505"/>
                  <c:y val="4.5190199392615191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7622079505206706E-2"/>
                      <c:h val="4.34507152574514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859-423A-80BD-F9EA4CB803EE}"/>
                </c:ext>
              </c:extLst>
            </c:dLbl>
            <c:dLbl>
              <c:idx val="20"/>
              <c:layout>
                <c:manualLayout>
                  <c:x val="0.13065424236827361"/>
                  <c:y val="3.3522345955317154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59-423A-80BD-F9EA4CB803EE}"/>
                </c:ext>
              </c:extLst>
            </c:dLbl>
            <c:dLbl>
              <c:idx val="21"/>
              <c:layout>
                <c:manualLayout>
                  <c:x val="-6.2042727538776717E-2"/>
                  <c:y val="-3.878301162984906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59-423A-80BD-F9EA4CB803EE}"/>
                </c:ext>
              </c:extLst>
            </c:dLbl>
            <c:dLbl>
              <c:idx val="22"/>
              <c:layout>
                <c:manualLayout>
                  <c:x val="-4.5002315886984716E-2"/>
                  <c:y val="-3.8200931689821621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59-423A-80BD-F9EA4CB803EE}"/>
                </c:ext>
              </c:extLst>
            </c:dLbl>
            <c:dLbl>
              <c:idx val="23"/>
              <c:layout>
                <c:manualLayout>
                  <c:x val="-5.0212762035123218E-2"/>
                  <c:y val="-4.191284989899822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59-423A-80BD-F9EA4CB803EE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859-423A-80BD-F9EA4CB803EE}"/>
                </c:ext>
              </c:extLst>
            </c:dLbl>
            <c:dLbl>
              <c:idx val="25"/>
              <c:layout>
                <c:manualLayout>
                  <c:x val="-3.77736130394545E-2"/>
                  <c:y val="6.7027110714353855E-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822549321110658"/>
                      <c:h val="4.35806686419663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E-5859-423A-80BD-F9EA4CB803EE}"/>
                </c:ext>
              </c:extLst>
            </c:dLbl>
            <c:dLbl>
              <c:idx val="26"/>
              <c:layout>
                <c:manualLayout>
                  <c:x val="-0.23933494762666957"/>
                  <c:y val="-0.10745778924552493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431899266487198"/>
                      <c:h val="4.39180071816176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F-5859-423A-80BD-F9EA4CB803EE}"/>
                </c:ext>
              </c:extLst>
            </c:dLbl>
            <c:dLbl>
              <c:idx val="27"/>
              <c:layout>
                <c:manualLayout>
                  <c:x val="-1.4524900702719218E-2"/>
                  <c:y val="-8.2268274747865106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84773775413729"/>
                      <c:h val="5.333548030422577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5859-423A-80BD-F9EA4CB803EE}"/>
                </c:ext>
              </c:extLst>
            </c:dLbl>
            <c:dLbl>
              <c:idx val="29"/>
              <c:layout>
                <c:manualLayout>
                  <c:x val="-0.12291483757682177"/>
                  <c:y val="-0.14380453752181507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859-423A-80BD-F9EA4CB803EE}"/>
                </c:ext>
              </c:extLst>
            </c:dLbl>
            <c:dLbl>
              <c:idx val="30"/>
              <c:layout>
                <c:manualLayout>
                  <c:x val="-1.062347611312844E-3"/>
                  <c:y val="3.6153620151220516E-3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9614238183563427E-2"/>
                      <c:h val="3.7373610507275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5859-423A-80BD-F9EA4CB803EE}"/>
                </c:ext>
              </c:extLst>
            </c:dLbl>
            <c:dLbl>
              <c:idx val="31"/>
              <c:layout>
                <c:manualLayout>
                  <c:x val="-6.7414109749989307E-2"/>
                  <c:y val="-1.591119004255647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7958577817552818E-2"/>
                      <c:h val="4.106554165391902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3-5859-423A-80BD-F9EA4CB803EE}"/>
                </c:ext>
              </c:extLst>
            </c:dLbl>
            <c:dLbl>
              <c:idx val="32"/>
              <c:layout>
                <c:manualLayout>
                  <c:x val="-7.1926573800366822E-2"/>
                  <c:y val="-0.1031921905688382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6324749389535044E-2"/>
                      <c:h val="6.045202347405077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5859-423A-80BD-F9EA4CB803EE}"/>
                </c:ext>
              </c:extLst>
            </c:dLbl>
            <c:dLbl>
              <c:idx val="33"/>
              <c:layout>
                <c:manualLayout>
                  <c:x val="-2.4582942948025401E-2"/>
                  <c:y val="-6.18600551228701E-2"/>
                </c:manualLayout>
              </c:layout>
              <c:spPr>
                <a:solidFill>
                  <a:sysClr val="window" lastClr="FFFFFF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587240113106466E-2"/>
                      <c:h val="6.07428214165979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5-5859-423A-80BD-F9EA4CB803EE}"/>
                </c:ext>
              </c:extLst>
            </c:dLbl>
            <c:dLbl>
              <c:idx val="34"/>
              <c:layout>
                <c:manualLayout>
                  <c:x val="1.9156343703505448E-2"/>
                  <c:y val="-0.11449962545462584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134244195289376E-2"/>
                      <c:h val="5.235377798718773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6-5859-423A-80BD-F9EA4CB803EE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Foaie1!$B$3:$B$37</c:f>
              <c:strCache>
                <c:ptCount val="35"/>
                <c:pt idx="0">
                  <c:v>Academia Națională de Muzică "Gheorghe Dima </c:v>
                </c:pt>
                <c:pt idx="1">
                  <c:v>Aida -</c:v>
                </c:pt>
                <c:pt idx="2">
                  <c:v>Bal Mascat - </c:v>
                </c:pt>
                <c:pt idx="3">
                  <c:v>Bărbierul din Sevilla - </c:v>
                </c:pt>
                <c:pt idx="4">
                  <c:v>Boema - </c:v>
                </c:pt>
                <c:pt idx="5">
                  <c:v>City Beat Carmen - </c:v>
                </c:pt>
                <c:pt idx="6">
                  <c:v>Coppélia -</c:v>
                </c:pt>
                <c:pt idx="7">
                  <c:v>Die Fledermaus - </c:v>
                </c:pt>
                <c:pt idx="8">
                  <c:v>Don Giovanni - </c:v>
                </c:pt>
                <c:pt idx="9">
                  <c:v>Don Quijote </c:v>
                </c:pt>
                <c:pt idx="10">
                  <c:v>Evgheni Oneghin </c:v>
                </c:pt>
                <c:pt idx="11">
                  <c:v>Gala Goethe -</c:v>
                </c:pt>
                <c:pt idx="12">
                  <c:v>Giselle -</c:v>
                </c:pt>
                <c:pt idx="13">
                  <c:v>La bohème -</c:v>
                </c:pt>
                <c:pt idx="14">
                  <c:v>La vision de Saül - Oratoriul de Paști - </c:v>
                </c:pt>
                <c:pt idx="15">
                  <c:v>Lăsați-mă să cânt - </c:v>
                </c:pt>
                <c:pt idx="16">
                  <c:v>Liliacul -</c:v>
                </c:pt>
                <c:pt idx="17">
                  <c:v>Macbeth -</c:v>
                </c:pt>
                <c:pt idx="18">
                  <c:v>Madama Butterfly - </c:v>
                </c:pt>
                <c:pt idx="19">
                  <c:v>My Fair Lady -</c:v>
                </c:pt>
                <c:pt idx="20">
                  <c:v>Nabucco - </c:v>
                </c:pt>
                <c:pt idx="21">
                  <c:v>Orfeu în infern -</c:v>
                </c:pt>
                <c:pt idx="22">
                  <c:v>Puritanii - </c:v>
                </c:pt>
                <c:pt idx="23">
                  <c:v>Regal de Opera - </c:v>
                </c:pt>
                <c:pt idx="24">
                  <c:v>Rigoletto -</c:v>
                </c:pt>
                <c:pt idx="25">
                  <c:v>Să descoperim Opera și tainele ei -</c:v>
                </c:pt>
                <c:pt idx="26">
                  <c:v>Spărgătorul de Nuci - PREMIERA -</c:v>
                </c:pt>
                <c:pt idx="27">
                  <c:v>Tineri artisti pe scena operei -</c:v>
                </c:pt>
                <c:pt idx="28">
                  <c:v>Tosca -</c:v>
                </c:pt>
                <c:pt idx="29">
                  <c:v>Traviata -</c:v>
                </c:pt>
                <c:pt idx="30">
                  <c:v>Trubadurul -</c:v>
                </c:pt>
                <c:pt idx="31">
                  <c:v>Turandot -</c:v>
                </c:pt>
                <c:pt idx="32">
                  <c:v>Văduva Veselă - </c:v>
                </c:pt>
                <c:pt idx="33">
                  <c:v>Winter Delights </c:v>
                </c:pt>
                <c:pt idx="34">
                  <c:v>Zorba -</c:v>
                </c:pt>
              </c:strCache>
            </c:strRef>
          </c:cat>
          <c:val>
            <c:numRef>
              <c:f>Foaie1!$D$3:$D$37</c:f>
              <c:numCache>
                <c:formatCode>General</c:formatCode>
                <c:ptCount val="35"/>
                <c:pt idx="0">
                  <c:v>624</c:v>
                </c:pt>
                <c:pt idx="1">
                  <c:v>693</c:v>
                </c:pt>
                <c:pt idx="2">
                  <c:v>1257</c:v>
                </c:pt>
                <c:pt idx="3">
                  <c:v>1561</c:v>
                </c:pt>
                <c:pt idx="4">
                  <c:v>526</c:v>
                </c:pt>
                <c:pt idx="5">
                  <c:v>1858</c:v>
                </c:pt>
                <c:pt idx="6">
                  <c:v>2006</c:v>
                </c:pt>
                <c:pt idx="7">
                  <c:v>652</c:v>
                </c:pt>
                <c:pt idx="8">
                  <c:v>1883</c:v>
                </c:pt>
                <c:pt idx="9">
                  <c:v>1835</c:v>
                </c:pt>
                <c:pt idx="10">
                  <c:v>707</c:v>
                </c:pt>
                <c:pt idx="11">
                  <c:v>706</c:v>
                </c:pt>
                <c:pt idx="12">
                  <c:v>1254</c:v>
                </c:pt>
                <c:pt idx="13">
                  <c:v>605</c:v>
                </c:pt>
                <c:pt idx="14">
                  <c:v>730</c:v>
                </c:pt>
                <c:pt idx="15">
                  <c:v>499</c:v>
                </c:pt>
                <c:pt idx="16">
                  <c:v>712</c:v>
                </c:pt>
                <c:pt idx="17">
                  <c:v>1803</c:v>
                </c:pt>
                <c:pt idx="18">
                  <c:v>743</c:v>
                </c:pt>
                <c:pt idx="19">
                  <c:v>2641</c:v>
                </c:pt>
                <c:pt idx="20">
                  <c:v>911</c:v>
                </c:pt>
                <c:pt idx="21">
                  <c:v>818</c:v>
                </c:pt>
                <c:pt idx="22">
                  <c:v>819</c:v>
                </c:pt>
                <c:pt idx="23">
                  <c:v>646</c:v>
                </c:pt>
                <c:pt idx="24">
                  <c:v>917</c:v>
                </c:pt>
                <c:pt idx="25">
                  <c:v>610</c:v>
                </c:pt>
                <c:pt idx="26">
                  <c:v>5446</c:v>
                </c:pt>
                <c:pt idx="27">
                  <c:v>176</c:v>
                </c:pt>
                <c:pt idx="28">
                  <c:v>912</c:v>
                </c:pt>
                <c:pt idx="29">
                  <c:v>1828</c:v>
                </c:pt>
                <c:pt idx="30">
                  <c:v>1075</c:v>
                </c:pt>
                <c:pt idx="31">
                  <c:v>896</c:v>
                </c:pt>
                <c:pt idx="32">
                  <c:v>1804</c:v>
                </c:pt>
                <c:pt idx="33">
                  <c:v>1255</c:v>
                </c:pt>
                <c:pt idx="34">
                  <c:v>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59-423A-80BD-F9EA4CB803EE}"/>
            </c:ext>
          </c:extLst>
        </c:ser>
        <c:ser>
          <c:idx val="1"/>
          <c:order val="1"/>
          <c:tx>
            <c:strRef>
              <c:f>Foaie1!$E$2</c:f>
              <c:strCache>
                <c:ptCount val="1"/>
                <c:pt idx="0">
                  <c:v>val.totala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5859-423A-80BD-F9EA4CB803E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8-5859-423A-80BD-F9EA4CB803E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5859-423A-80BD-F9EA4CB803E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A-5859-423A-80BD-F9EA4CB803E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5859-423A-80BD-F9EA4CB803E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C-5859-423A-80BD-F9EA4CB803E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5859-423A-80BD-F9EA4CB803E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E-5859-423A-80BD-F9EA4CB803E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5859-423A-80BD-F9EA4CB803E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0-5859-423A-80BD-F9EA4CB803E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5859-423A-80BD-F9EA4CB803E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2-5859-423A-80BD-F9EA4CB803E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5859-423A-80BD-F9EA4CB803E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4-5859-423A-80BD-F9EA4CB803E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5859-423A-80BD-F9EA4CB803E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6-5859-423A-80BD-F9EA4CB803E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5859-423A-80BD-F9EA4CB803E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8-5859-423A-80BD-F9EA4CB803EE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5859-423A-80BD-F9EA4CB803EE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A-5859-423A-80BD-F9EA4CB803EE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5859-423A-80BD-F9EA4CB803EE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C-5859-423A-80BD-F9EA4CB803EE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5859-423A-80BD-F9EA4CB803EE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E-5859-423A-80BD-F9EA4CB803EE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5859-423A-80BD-F9EA4CB803EE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0-5859-423A-80BD-F9EA4CB803EE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5859-423A-80BD-F9EA4CB803EE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2-5859-423A-80BD-F9EA4CB803EE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5859-423A-80BD-F9EA4CB803EE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4-5859-423A-80BD-F9EA4CB803EE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5859-423A-80BD-F9EA4CB803EE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6-5859-423A-80BD-F9EA4CB803EE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5859-423A-80BD-F9EA4CB803EE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8-5859-423A-80BD-F9EA4CB803EE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5859-423A-80BD-F9EA4CB803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Foaie1!$B$3:$B$37</c:f>
              <c:strCache>
                <c:ptCount val="35"/>
                <c:pt idx="0">
                  <c:v>Academia Națională de Muzică "Gheorghe Dima </c:v>
                </c:pt>
                <c:pt idx="1">
                  <c:v>Aida -</c:v>
                </c:pt>
                <c:pt idx="2">
                  <c:v>Bal Mascat - </c:v>
                </c:pt>
                <c:pt idx="3">
                  <c:v>Bărbierul din Sevilla - </c:v>
                </c:pt>
                <c:pt idx="4">
                  <c:v>Boema - </c:v>
                </c:pt>
                <c:pt idx="5">
                  <c:v>City Beat Carmen - </c:v>
                </c:pt>
                <c:pt idx="6">
                  <c:v>Coppélia -</c:v>
                </c:pt>
                <c:pt idx="7">
                  <c:v>Die Fledermaus - </c:v>
                </c:pt>
                <c:pt idx="8">
                  <c:v>Don Giovanni - </c:v>
                </c:pt>
                <c:pt idx="9">
                  <c:v>Don Quijote </c:v>
                </c:pt>
                <c:pt idx="10">
                  <c:v>Evgheni Oneghin </c:v>
                </c:pt>
                <c:pt idx="11">
                  <c:v>Gala Goethe -</c:v>
                </c:pt>
                <c:pt idx="12">
                  <c:v>Giselle -</c:v>
                </c:pt>
                <c:pt idx="13">
                  <c:v>La bohème -</c:v>
                </c:pt>
                <c:pt idx="14">
                  <c:v>La vision de Saül - Oratoriul de Paști - </c:v>
                </c:pt>
                <c:pt idx="15">
                  <c:v>Lăsați-mă să cânt - </c:v>
                </c:pt>
                <c:pt idx="16">
                  <c:v>Liliacul -</c:v>
                </c:pt>
                <c:pt idx="17">
                  <c:v>Macbeth -</c:v>
                </c:pt>
                <c:pt idx="18">
                  <c:v>Madama Butterfly - </c:v>
                </c:pt>
                <c:pt idx="19">
                  <c:v>My Fair Lady -</c:v>
                </c:pt>
                <c:pt idx="20">
                  <c:v>Nabucco - </c:v>
                </c:pt>
                <c:pt idx="21">
                  <c:v>Orfeu în infern -</c:v>
                </c:pt>
                <c:pt idx="22">
                  <c:v>Puritanii - </c:v>
                </c:pt>
                <c:pt idx="23">
                  <c:v>Regal de Opera - </c:v>
                </c:pt>
                <c:pt idx="24">
                  <c:v>Rigoletto -</c:v>
                </c:pt>
                <c:pt idx="25">
                  <c:v>Să descoperim Opera și tainele ei -</c:v>
                </c:pt>
                <c:pt idx="26">
                  <c:v>Spărgătorul de Nuci - PREMIERA -</c:v>
                </c:pt>
                <c:pt idx="27">
                  <c:v>Tineri artisti pe scena operei -</c:v>
                </c:pt>
                <c:pt idx="28">
                  <c:v>Tosca -</c:v>
                </c:pt>
                <c:pt idx="29">
                  <c:v>Traviata -</c:v>
                </c:pt>
                <c:pt idx="30">
                  <c:v>Trubadurul -</c:v>
                </c:pt>
                <c:pt idx="31">
                  <c:v>Turandot -</c:v>
                </c:pt>
                <c:pt idx="32">
                  <c:v>Văduva Veselă - </c:v>
                </c:pt>
                <c:pt idx="33">
                  <c:v>Winter Delights </c:v>
                </c:pt>
                <c:pt idx="34">
                  <c:v>Zorba -</c:v>
                </c:pt>
              </c:strCache>
            </c:strRef>
          </c:cat>
          <c:val>
            <c:numRef>
              <c:f>Foaie1!$E$3:$E$37</c:f>
              <c:numCache>
                <c:formatCode>General</c:formatCode>
                <c:ptCount val="35"/>
                <c:pt idx="0">
                  <c:v>3460</c:v>
                </c:pt>
                <c:pt idx="1">
                  <c:v>25032</c:v>
                </c:pt>
                <c:pt idx="2">
                  <c:v>43975</c:v>
                </c:pt>
                <c:pt idx="3">
                  <c:v>49305</c:v>
                </c:pt>
                <c:pt idx="4">
                  <c:v>15808</c:v>
                </c:pt>
                <c:pt idx="5">
                  <c:v>61717</c:v>
                </c:pt>
                <c:pt idx="6">
                  <c:v>57300</c:v>
                </c:pt>
                <c:pt idx="7">
                  <c:v>19352</c:v>
                </c:pt>
                <c:pt idx="8">
                  <c:v>62568</c:v>
                </c:pt>
                <c:pt idx="9">
                  <c:v>58620</c:v>
                </c:pt>
                <c:pt idx="10">
                  <c:v>22263</c:v>
                </c:pt>
                <c:pt idx="11">
                  <c:v>29380</c:v>
                </c:pt>
                <c:pt idx="12">
                  <c:v>42868</c:v>
                </c:pt>
                <c:pt idx="13">
                  <c:v>19888</c:v>
                </c:pt>
                <c:pt idx="14">
                  <c:v>9278</c:v>
                </c:pt>
                <c:pt idx="15">
                  <c:v>12085</c:v>
                </c:pt>
                <c:pt idx="16">
                  <c:v>29205</c:v>
                </c:pt>
                <c:pt idx="17">
                  <c:v>67595</c:v>
                </c:pt>
                <c:pt idx="18">
                  <c:v>20955</c:v>
                </c:pt>
                <c:pt idx="19">
                  <c:v>92815</c:v>
                </c:pt>
                <c:pt idx="20">
                  <c:v>28578</c:v>
                </c:pt>
                <c:pt idx="21">
                  <c:v>26235</c:v>
                </c:pt>
                <c:pt idx="22">
                  <c:v>18325</c:v>
                </c:pt>
                <c:pt idx="23">
                  <c:v>19498</c:v>
                </c:pt>
                <c:pt idx="24">
                  <c:v>31863</c:v>
                </c:pt>
                <c:pt idx="25">
                  <c:v>6100</c:v>
                </c:pt>
                <c:pt idx="26">
                  <c:v>186825</c:v>
                </c:pt>
                <c:pt idx="27">
                  <c:v>2170</c:v>
                </c:pt>
                <c:pt idx="28">
                  <c:v>31928</c:v>
                </c:pt>
                <c:pt idx="29">
                  <c:v>55502</c:v>
                </c:pt>
                <c:pt idx="30">
                  <c:v>34200</c:v>
                </c:pt>
                <c:pt idx="31">
                  <c:v>31670</c:v>
                </c:pt>
                <c:pt idx="32">
                  <c:v>59563</c:v>
                </c:pt>
                <c:pt idx="33">
                  <c:v>47970</c:v>
                </c:pt>
                <c:pt idx="34">
                  <c:v>46488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59-423A-80BD-F9EA4CB803EE}"/>
            </c:ext>
          </c:extLst>
        </c:ser>
        <c:ser>
          <c:idx val="2"/>
          <c:order val="2"/>
          <c:tx>
            <c:strRef>
              <c:f>Foaie1!$F$2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5859-423A-80BD-F9EA4CB803E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C-5859-423A-80BD-F9EA4CB803E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5859-423A-80BD-F9EA4CB803E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E-5859-423A-80BD-F9EA4CB803E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5859-423A-80BD-F9EA4CB803E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0-5859-423A-80BD-F9EA4CB803E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5859-423A-80BD-F9EA4CB803E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2-5859-423A-80BD-F9EA4CB803E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5859-423A-80BD-F9EA4CB803E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4-5859-423A-80BD-F9EA4CB803E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5859-423A-80BD-F9EA4CB803E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6-5859-423A-80BD-F9EA4CB803E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5859-423A-80BD-F9EA4CB803E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8-5859-423A-80BD-F9EA4CB803E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5859-423A-80BD-F9EA4CB803E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A-5859-423A-80BD-F9EA4CB803E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5859-423A-80BD-F9EA4CB803E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C-5859-423A-80BD-F9EA4CB803EE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5859-423A-80BD-F9EA4CB803EE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E-5859-423A-80BD-F9EA4CB803EE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5859-423A-80BD-F9EA4CB803EE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0-5859-423A-80BD-F9EA4CB803EE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5859-423A-80BD-F9EA4CB803EE}"/>
              </c:ext>
            </c:extLst>
          </c:dPt>
          <c:dPt>
            <c:idx val="23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2-5859-423A-80BD-F9EA4CB803EE}"/>
              </c:ext>
            </c:extLst>
          </c:dPt>
          <c:dPt>
            <c:idx val="24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5859-423A-80BD-F9EA4CB803EE}"/>
              </c:ext>
            </c:extLst>
          </c:dPt>
          <c:dPt>
            <c:idx val="25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4-5859-423A-80BD-F9EA4CB803EE}"/>
              </c:ext>
            </c:extLst>
          </c:dPt>
          <c:dPt>
            <c:idx val="26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5859-423A-80BD-F9EA4CB803EE}"/>
              </c:ext>
            </c:extLst>
          </c:dPt>
          <c:dPt>
            <c:idx val="27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6-5859-423A-80BD-F9EA4CB803EE}"/>
              </c:ext>
            </c:extLst>
          </c:dPt>
          <c:dPt>
            <c:idx val="28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5859-423A-80BD-F9EA4CB803EE}"/>
              </c:ext>
            </c:extLst>
          </c:dPt>
          <c:dPt>
            <c:idx val="29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lumOff val="4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Off val="4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8-5859-423A-80BD-F9EA4CB803EE}"/>
              </c:ext>
            </c:extLst>
          </c:dPt>
          <c:dPt>
            <c:idx val="30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5859-423A-80BD-F9EA4CB803EE}"/>
              </c:ext>
            </c:extLst>
          </c:dPt>
          <c:dPt>
            <c:idx val="3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A-5859-423A-80BD-F9EA4CB803EE}"/>
              </c:ext>
            </c:extLst>
          </c:dPt>
          <c:dPt>
            <c:idx val="32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5859-423A-80BD-F9EA4CB803EE}"/>
              </c:ext>
            </c:extLst>
          </c:dPt>
          <c:dPt>
            <c:idx val="33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C-5859-423A-80BD-F9EA4CB803EE}"/>
              </c:ext>
            </c:extLst>
          </c:dPt>
          <c:dPt>
            <c:idx val="34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5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5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5859-423A-80BD-F9EA4CB803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Foaie1!$B$3:$B$37</c:f>
              <c:strCache>
                <c:ptCount val="35"/>
                <c:pt idx="0">
                  <c:v>Academia Națională de Muzică "Gheorghe Dima </c:v>
                </c:pt>
                <c:pt idx="1">
                  <c:v>Aida -</c:v>
                </c:pt>
                <c:pt idx="2">
                  <c:v>Bal Mascat - </c:v>
                </c:pt>
                <c:pt idx="3">
                  <c:v>Bărbierul din Sevilla - </c:v>
                </c:pt>
                <c:pt idx="4">
                  <c:v>Boema - </c:v>
                </c:pt>
                <c:pt idx="5">
                  <c:v>City Beat Carmen - </c:v>
                </c:pt>
                <c:pt idx="6">
                  <c:v>Coppélia -</c:v>
                </c:pt>
                <c:pt idx="7">
                  <c:v>Die Fledermaus - </c:v>
                </c:pt>
                <c:pt idx="8">
                  <c:v>Don Giovanni - </c:v>
                </c:pt>
                <c:pt idx="9">
                  <c:v>Don Quijote </c:v>
                </c:pt>
                <c:pt idx="10">
                  <c:v>Evgheni Oneghin </c:v>
                </c:pt>
                <c:pt idx="11">
                  <c:v>Gala Goethe -</c:v>
                </c:pt>
                <c:pt idx="12">
                  <c:v>Giselle -</c:v>
                </c:pt>
                <c:pt idx="13">
                  <c:v>La bohème -</c:v>
                </c:pt>
                <c:pt idx="14">
                  <c:v>La vision de Saül - Oratoriul de Paști - </c:v>
                </c:pt>
                <c:pt idx="15">
                  <c:v>Lăsați-mă să cânt - </c:v>
                </c:pt>
                <c:pt idx="16">
                  <c:v>Liliacul -</c:v>
                </c:pt>
                <c:pt idx="17">
                  <c:v>Macbeth -</c:v>
                </c:pt>
                <c:pt idx="18">
                  <c:v>Madama Butterfly - </c:v>
                </c:pt>
                <c:pt idx="19">
                  <c:v>My Fair Lady -</c:v>
                </c:pt>
                <c:pt idx="20">
                  <c:v>Nabucco - </c:v>
                </c:pt>
                <c:pt idx="21">
                  <c:v>Orfeu în infern -</c:v>
                </c:pt>
                <c:pt idx="22">
                  <c:v>Puritanii - </c:v>
                </c:pt>
                <c:pt idx="23">
                  <c:v>Regal de Opera - </c:v>
                </c:pt>
                <c:pt idx="24">
                  <c:v>Rigoletto -</c:v>
                </c:pt>
                <c:pt idx="25">
                  <c:v>Să descoperim Opera și tainele ei -</c:v>
                </c:pt>
                <c:pt idx="26">
                  <c:v>Spărgătorul de Nuci - PREMIERA -</c:v>
                </c:pt>
                <c:pt idx="27">
                  <c:v>Tineri artisti pe scena operei -</c:v>
                </c:pt>
                <c:pt idx="28">
                  <c:v>Tosca -</c:v>
                </c:pt>
                <c:pt idx="29">
                  <c:v>Traviata -</c:v>
                </c:pt>
                <c:pt idx="30">
                  <c:v>Trubadurul -</c:v>
                </c:pt>
                <c:pt idx="31">
                  <c:v>Turandot -</c:v>
                </c:pt>
                <c:pt idx="32">
                  <c:v>Văduva Veselă - </c:v>
                </c:pt>
                <c:pt idx="33">
                  <c:v>Winter Delights </c:v>
                </c:pt>
                <c:pt idx="34">
                  <c:v>Zorba -</c:v>
                </c:pt>
              </c:strCache>
            </c:strRef>
          </c:cat>
          <c:val>
            <c:numRef>
              <c:f>Foaie1!$F$3:$F$37</c:f>
              <c:numCache>
                <c:formatCode>General</c:formatCode>
                <c:ptCount val="35"/>
              </c:numCache>
            </c:numRef>
          </c:val>
          <c:extLst>
            <c:ext xmlns:c16="http://schemas.microsoft.com/office/drawing/2014/chart" uri="{C3380CC4-5D6E-409C-BE32-E72D297353CC}">
              <c16:uniqueId val="{00000002-5859-423A-80BD-F9EA4CB803E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8565187033798119E-2"/>
          <c:y val="0.6113423204298416"/>
          <c:w val="0.91126286123804323"/>
          <c:h val="0.362130628959338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723900">
        <a:schemeClr val="bg1">
          <a:alpha val="40000"/>
        </a:schemeClr>
      </a:glow>
      <a:softEdge rad="0"/>
    </a:effectLst>
    <a:scene3d>
      <a:camera prst="orthographicFront"/>
      <a:lightRig rig="threePt" dir="t"/>
    </a:scene3d>
    <a:sp3d prstMaterial="dkEdge">
      <a:bevelB w="19050"/>
    </a:sp3d>
  </c:spPr>
  <c:txPr>
    <a:bodyPr/>
    <a:lstStyle/>
    <a:p>
      <a:pPr>
        <a:defRPr/>
      </a:pPr>
      <a:endParaRPr lang="en-US"/>
    </a:p>
  </c:txPr>
  <c:printSettings>
    <c:headerFooter/>
    <c:pageMargins b="0.15748031496062992" l="0.31496062992125984" r="0.11811023622047245" t="0.15748031496062992" header="0.11811023622047245" footer="0.1181102362204724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110"/>
      <c:depthPercent val="6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8494830585207273"/>
          <c:w val="1"/>
          <c:h val="0.57289172026110036"/>
        </c:manualLayout>
      </c:layout>
      <c:pie3DChart>
        <c:varyColors val="1"/>
        <c:ser>
          <c:idx val="0"/>
          <c:order val="0"/>
          <c:tx>
            <c:strRef>
              <c:f>Foaie2!$C$2</c:f>
              <c:strCache>
                <c:ptCount val="1"/>
                <c:pt idx="0">
                  <c:v>nr.bilete</c:v>
                </c:pt>
              </c:strCache>
            </c:strRef>
          </c:tx>
          <c:explosion val="15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DC0-49C5-B5CD-F96F3D3D7D63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DDC0-49C5-B5CD-F96F3D3D7D63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DDC0-49C5-B5CD-F96F3D3D7D63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DC0-49C5-B5CD-F96F3D3D7D63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DDC0-49C5-B5CD-F96F3D3D7D63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DC0-49C5-B5CD-F96F3D3D7D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DDC0-49C5-B5CD-F96F3D3D7D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DC0-49C5-B5CD-F96F3D3D7D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DDC0-49C5-B5CD-F96F3D3D7D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DDC0-49C5-B5CD-F96F3D3D7D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A-DDC0-49C5-B5CD-F96F3D3D7D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DDC0-49C5-B5CD-F96F3D3D7D6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C-DDC0-49C5-B5CD-F96F3D3D7D6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DC0-49C5-B5CD-F96F3D3D7D6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DDC0-49C5-B5CD-F96F3D3D7D6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E-DDC0-49C5-B5CD-F96F3D3D7D6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DDC0-49C5-B5CD-F96F3D3D7D6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DDC0-49C5-B5CD-F96F3D3D7D6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DC0-49C5-B5CD-F96F3D3D7D6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DC0-49C5-B5CD-F96F3D3D7D6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DDC0-49C5-B5CD-F96F3D3D7D6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0-DDC0-49C5-B5CD-F96F3D3D7D6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DDC0-49C5-B5CD-F96F3D3D7D63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DDC0-49C5-B5CD-F96F3D3D7D63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DDC0-49C5-B5CD-F96F3D3D7D63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2-DDC0-49C5-B5CD-F96F3D3D7D63}"/>
              </c:ext>
            </c:extLst>
          </c:dPt>
          <c:dPt>
            <c:idx val="26"/>
            <c:bubble3D val="0"/>
            <c:spPr>
              <a:solidFill>
                <a:schemeClr val="accent2"/>
              </a:solidFill>
              <a:ln w="19050">
                <a:solidFill>
                  <a:schemeClr val="accent3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DC0-49C5-B5CD-F96F3D3D7D63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DC0-49C5-B5CD-F96F3D3D7D63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DDC0-49C5-B5CD-F96F3D3D7D63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Off val="4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Off val="4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Off val="4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DC0-49C5-B5CD-F96F3D3D7D63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  <a:alpha val="90000"/>
                </a:schemeClr>
              </a:solidFill>
              <a:ln w="19050">
                <a:solidFill>
                  <a:schemeClr val="accent1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DC0-49C5-B5CD-F96F3D3D7D63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  <a:alpha val="90000"/>
                </a:schemeClr>
              </a:solidFill>
              <a:ln w="19050">
                <a:solidFill>
                  <a:schemeClr val="accent2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DDC0-49C5-B5CD-F96F3D3D7D63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  <a:alpha val="90000"/>
                </a:schemeClr>
              </a:solidFill>
              <a:ln w="19050">
                <a:solidFill>
                  <a:schemeClr val="accent3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DDC0-49C5-B5CD-F96F3D3D7D63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  <a:alpha val="90000"/>
                </a:schemeClr>
              </a:solidFill>
              <a:ln w="19050">
                <a:solidFill>
                  <a:schemeClr val="accent4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4-DDC0-49C5-B5CD-F96F3D3D7D63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  <a:alpha val="90000"/>
                </a:schemeClr>
              </a:solidFill>
              <a:ln w="19050">
                <a:solidFill>
                  <a:schemeClr val="accent5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DC0-49C5-B5CD-F96F3D3D7D63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  <a:alpha val="90000"/>
                </a:schemeClr>
              </a:solidFill>
              <a:ln w="19050">
                <a:solidFill>
                  <a:schemeClr val="accent6">
                    <a:lumMod val="5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5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5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DDC0-49C5-B5CD-F96F3D3D7D63}"/>
              </c:ext>
            </c:extLst>
          </c:dPt>
          <c:dLbls>
            <c:dLbl>
              <c:idx val="0"/>
              <c:layout>
                <c:manualLayout>
                  <c:x val="-0.2339510538488685"/>
                  <c:y val="-0.105530046122494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/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1-DDC0-49C5-B5CD-F96F3D3D7D63}"/>
                </c:ext>
              </c:extLst>
            </c:dLbl>
            <c:dLbl>
              <c:idx val="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ED7D31"/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2-DDC0-49C5-B5CD-F96F3D3D7D63}"/>
                </c:ext>
              </c:extLst>
            </c:dLbl>
            <c:dLbl>
              <c:idx val="2"/>
              <c:layout>
                <c:manualLayout>
                  <c:x val="-0.26980073028663992"/>
                  <c:y val="-0.1106186626163508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A5A5A5"/>
                  </a:solidFill>
                  <a:round/>
                </a:ln>
                <a:effectLst>
                  <a:outerShdw blurRad="50800" dist="38100" dir="2700000" algn="tl" rotWithShape="0">
                    <a:srgbClr val="A5A5A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11108613234227215"/>
                      <c:h val="3.24451164811575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DDC0-49C5-B5CD-F96F3D3D7D63}"/>
                </c:ext>
              </c:extLst>
            </c:dLbl>
            <c:dLbl>
              <c:idx val="3"/>
              <c:layout>
                <c:manualLayout>
                  <c:x val="-1.683128404407282E-2"/>
                  <c:y val="-2.8125822179163363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C000"/>
                  </a:solidFill>
                  <a:round/>
                </a:ln>
                <a:effectLst>
                  <a:outerShdw blurRad="50800" dist="38100" dir="2700000" algn="tl" rotWithShape="0">
                    <a:srgbClr val="FFC000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3-DDC0-49C5-B5CD-F96F3D3D7D63}"/>
                </c:ext>
              </c:extLst>
            </c:dLbl>
            <c:dLbl>
              <c:idx val="4"/>
              <c:layout>
                <c:manualLayout>
                  <c:x val="-4.00228346521838E-2"/>
                  <c:y val="-6.5818925830011983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/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4-DDC0-49C5-B5CD-F96F3D3D7D63}"/>
                </c:ext>
              </c:extLst>
            </c:dLbl>
            <c:dLbl>
              <c:idx val="5"/>
              <c:layout>
                <c:manualLayout>
                  <c:x val="-2.0440636893939546E-2"/>
                  <c:y val="-2.7836550830811742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70AD47"/>
                  </a:solidFill>
                  <a:round/>
                </a:ln>
                <a:effectLst>
                  <a:outerShdw blurRad="50800" dist="38100" dir="2700000" algn="tl" rotWithShape="0">
                    <a:srgbClr val="70AD47"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5-DDC0-49C5-B5CD-F96F3D3D7D63}"/>
                </c:ext>
              </c:extLst>
            </c:dLbl>
            <c:dLbl>
              <c:idx val="6"/>
              <c:layout>
                <c:manualLayout>
                  <c:x val="-3.8641458017076982E-2"/>
                  <c:y val="1.16400696655367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6-DDC0-49C5-B5CD-F96F3D3D7D63}"/>
                </c:ext>
              </c:extLst>
            </c:dLbl>
            <c:dLbl>
              <c:idx val="7"/>
              <c:layout>
                <c:manualLayout>
                  <c:x val="3.1228184191539481E-2"/>
                  <c:y val="-0.1882055230276086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ED7D31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7-DDC0-49C5-B5CD-F96F3D3D7D63}"/>
                </c:ext>
              </c:extLst>
            </c:dLbl>
            <c:dLbl>
              <c:idx val="8"/>
              <c:layout>
                <c:manualLayout>
                  <c:x val="8.4291647920702928E-2"/>
                  <c:y val="-3.1566832829661249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A5A5A5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A5A5A5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8-DDC0-49C5-B5CD-F96F3D3D7D63}"/>
                </c:ext>
              </c:extLst>
            </c:dLbl>
            <c:dLbl>
              <c:idx val="9"/>
              <c:layout>
                <c:manualLayout>
                  <c:x val="3.6512548930888095E-2"/>
                  <c:y val="-6.0558918001072943E-4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C000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FFC000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21771103438064429"/>
                      <c:h val="2.136478299704892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9-DDC0-49C5-B5CD-F96F3D3D7D63}"/>
                </c:ext>
              </c:extLst>
            </c:dLbl>
            <c:dLbl>
              <c:idx val="10"/>
              <c:layout>
                <c:manualLayout>
                  <c:x val="0"/>
                  <c:y val="-1.8852368273447509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A-DDC0-49C5-B5CD-F96F3D3D7D63}"/>
                </c:ext>
              </c:extLst>
            </c:dLbl>
            <c:dLbl>
              <c:idx val="11"/>
              <c:layout>
                <c:manualLayout>
                  <c:x val="0.25181166604235594"/>
                  <c:y val="-0.11082737615958166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70AD47">
                      <a:lumMod val="6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70AD47">
                      <a:lumMod val="6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6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B-DDC0-49C5-B5CD-F96F3D3D7D63}"/>
                </c:ext>
              </c:extLst>
            </c:dLbl>
            <c:dLbl>
              <c:idx val="12"/>
              <c:layout>
                <c:manualLayout>
                  <c:x val="-4.2572475913635714E-2"/>
                  <c:y val="-2.4292395168703171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>
                      <a:lumMod val="80000"/>
                      <a:lumOff val="2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80000"/>
                      <a:lumOff val="2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9.2029154407495831E-2"/>
                      <c:h val="3.121396831625656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C-DDC0-49C5-B5CD-F96F3D3D7D63}"/>
                </c:ext>
              </c:extLst>
            </c:dLbl>
            <c:dLbl>
              <c:idx val="13"/>
              <c:layout>
                <c:manualLayout>
                  <c:x val="0.21557977164777234"/>
                  <c:y val="-6.4174131269864376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ED7D31">
                      <a:lumMod val="80000"/>
                      <a:lumOff val="2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80000"/>
                      <a:lumOff val="2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7-DDC0-49C5-B5CD-F96F3D3D7D63}"/>
                </c:ext>
              </c:extLst>
            </c:dLbl>
            <c:dLbl>
              <c:idx val="14"/>
              <c:layout>
                <c:manualLayout>
                  <c:x val="0.40320442576869381"/>
                  <c:y val="-6.1134746355365199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A5A5A5">
                      <a:lumMod val="80000"/>
                      <a:lumOff val="2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A5A5A5">
                      <a:lumMod val="80000"/>
                      <a:lumOff val="2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13504425854281024"/>
                      <c:h val="6.402203115405889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D-DDC0-49C5-B5CD-F96F3D3D7D63}"/>
                </c:ext>
              </c:extLst>
            </c:dLbl>
            <c:dLbl>
              <c:idx val="15"/>
              <c:layout>
                <c:manualLayout>
                  <c:x val="0.15579714589670943"/>
                  <c:y val="-4.2318537000461634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C000">
                      <a:lumMod val="80000"/>
                      <a:lumOff val="2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FFC000">
                      <a:lumMod val="80000"/>
                      <a:lumOff val="2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12530201566301941"/>
                      <c:h val="3.40752729804468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E-DDC0-49C5-B5CD-F96F3D3D7D63}"/>
                </c:ext>
              </c:extLst>
            </c:dLbl>
            <c:dLbl>
              <c:idx val="16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>
                      <a:lumMod val="80000"/>
                      <a:lumOff val="2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80000"/>
                      <a:lumOff val="2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F-DDC0-49C5-B5CD-F96F3D3D7D63}"/>
                </c:ext>
              </c:extLst>
            </c:dLbl>
            <c:dLbl>
              <c:idx val="17"/>
              <c:layout>
                <c:manualLayout>
                  <c:x val="0.17981033316510703"/>
                  <c:y val="-5.9689359021611859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70AD47">
                      <a:lumMod val="80000"/>
                      <a:lumOff val="2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70AD47">
                      <a:lumMod val="80000"/>
                      <a:lumOff val="2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19014384062074646"/>
                      <c:h val="2.75205238215537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DC0-49C5-B5CD-F96F3D3D7D63}"/>
                </c:ext>
              </c:extLst>
            </c:dLbl>
            <c:dLbl>
              <c:idx val="18"/>
              <c:layout>
                <c:manualLayout>
                  <c:x val="0.20504256677010349"/>
                  <c:y val="2.4885188163062913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>
                      <a:lumMod val="8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8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5-DDC0-49C5-B5CD-F96F3D3D7D63}"/>
                </c:ext>
              </c:extLst>
            </c:dLbl>
            <c:dLbl>
              <c:idx val="19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ED7D31">
                      <a:lumMod val="8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8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3-DDC0-49C5-B5CD-F96F3D3D7D63}"/>
                </c:ext>
              </c:extLst>
            </c:dLbl>
            <c:dLbl>
              <c:idx val="20"/>
              <c:layout>
                <c:manualLayout>
                  <c:x val="0"/>
                  <c:y val="-1.7920476359337832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A5A5A5">
                      <a:lumMod val="8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A5A5A5">
                      <a:lumMod val="8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2-DDC0-49C5-B5CD-F96F3D3D7D63}"/>
                </c:ext>
              </c:extLst>
            </c:dLbl>
            <c:dLbl>
              <c:idx val="21"/>
              <c:layout>
                <c:manualLayout>
                  <c:x val="0.27814298132573922"/>
                  <c:y val="0.1223002229444527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C000">
                      <a:lumMod val="8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FFC000">
                      <a:lumMod val="8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20-DDC0-49C5-B5CD-F96F3D3D7D63}"/>
                </c:ext>
              </c:extLst>
            </c:dLbl>
            <c:dLbl>
              <c:idx val="22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>
                      <a:lumMod val="8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8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21-DDC0-49C5-B5CD-F96F3D3D7D63}"/>
                </c:ext>
              </c:extLst>
            </c:dLbl>
            <c:dLbl>
              <c:idx val="23"/>
              <c:layout>
                <c:manualLayout>
                  <c:x val="0.18412021685502022"/>
                  <c:y val="0.12893131298364974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70AD47">
                      <a:lumMod val="8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70AD47">
                      <a:lumMod val="8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8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1275063127656946"/>
                      <c:h val="4.35254499652661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DDC0-49C5-B5CD-F96F3D3D7D63}"/>
                </c:ext>
              </c:extLst>
            </c:dLbl>
            <c:dLbl>
              <c:idx val="24"/>
              <c:layout>
                <c:manualLayout>
                  <c:x val="-1.5803097056686369E-2"/>
                  <c:y val="6.1245258867804898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>
                      <a:lumMod val="60000"/>
                      <a:lumOff val="4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60000"/>
                      <a:lumOff val="4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10-DDC0-49C5-B5CD-F96F3D3D7D63}"/>
                </c:ext>
              </c:extLst>
            </c:dLbl>
            <c:dLbl>
              <c:idx val="25"/>
              <c:layout>
                <c:manualLayout>
                  <c:x val="4.2117294909647073E-2"/>
                  <c:y val="-6.8214333007547614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ED7D31">
                      <a:lumMod val="60000"/>
                      <a:lumOff val="4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60000"/>
                      <a:lumOff val="4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22-DDC0-49C5-B5CD-F96F3D3D7D63}"/>
                </c:ext>
              </c:extLst>
            </c:dLbl>
            <c:dLbl>
              <c:idx val="26"/>
              <c:layout>
                <c:manualLayout>
                  <c:x val="-4.2004605159364702E-2"/>
                  <c:y val="-4.1650614885802885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A5A5A5">
                      <a:lumMod val="60000"/>
                      <a:lumOff val="4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A5A5A5">
                      <a:lumMod val="60000"/>
                      <a:lumOff val="4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F-DDC0-49C5-B5CD-F96F3D3D7D63}"/>
                </c:ext>
              </c:extLst>
            </c:dLbl>
            <c:dLbl>
              <c:idx val="27"/>
              <c:layout>
                <c:manualLayout>
                  <c:x val="-0.293763064522157"/>
                  <c:y val="0.10593845771451979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C000">
                      <a:lumMod val="60000"/>
                      <a:lumOff val="4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FFC000">
                      <a:lumMod val="60000"/>
                      <a:lumOff val="4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1-DDC0-49C5-B5CD-F96F3D3D7D63}"/>
                </c:ext>
              </c:extLst>
            </c:dLbl>
            <c:dLbl>
              <c:idx val="28"/>
              <c:layout>
                <c:manualLayout>
                  <c:x val="-8.7541392086440736E-3"/>
                  <c:y val="-3.0080730359745371E-3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>
                      <a:lumMod val="60000"/>
                      <a:lumOff val="4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60000"/>
                      <a:lumOff val="4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A-DDC0-49C5-B5CD-F96F3D3D7D63}"/>
                </c:ext>
              </c:extLst>
            </c:dLbl>
            <c:dLbl>
              <c:idx val="29"/>
              <c:layout>
                <c:manualLayout>
                  <c:x val="-2.5904092749085002E-2"/>
                  <c:y val="2.0353496567423177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70AD47">
                      <a:lumMod val="60000"/>
                      <a:lumOff val="4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70AD47">
                      <a:lumMod val="60000"/>
                      <a:lumOff val="4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9-DDC0-49C5-B5CD-F96F3D3D7D63}"/>
                </c:ext>
              </c:extLst>
            </c:dLbl>
            <c:dLbl>
              <c:idx val="30"/>
              <c:layout>
                <c:manualLayout>
                  <c:x val="-0.2807115944059097"/>
                  <c:y val="5.9095208856046209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4472C4">
                      <a:lumMod val="5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4472C4">
                      <a:lumMod val="5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B-DDC0-49C5-B5CD-F96F3D3D7D63}"/>
                </c:ext>
              </c:extLst>
            </c:dLbl>
            <c:dLbl>
              <c:idx val="31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ED7D31">
                      <a:lumMod val="5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ED7D31">
                      <a:lumMod val="5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23-DDC0-49C5-B5CD-F96F3D3D7D63}"/>
                </c:ext>
              </c:extLst>
            </c:dLbl>
            <c:dLbl>
              <c:idx val="32"/>
              <c:layout>
                <c:manualLayout>
                  <c:x val="-0.2353996163983843"/>
                  <c:y val="2.600805345393286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A5A5A5">
                      <a:lumMod val="5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A5A5A5">
                      <a:lumMod val="5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C-DDC0-49C5-B5CD-F96F3D3D7D63}"/>
                </c:ext>
              </c:extLst>
            </c:dLbl>
            <c:dLbl>
              <c:idx val="33"/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FFC000">
                      <a:lumMod val="5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FFC000">
                      <a:lumMod val="5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4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  <c15:layout>
                    <c:manualLayout>
                      <c:w val="0.1640528825895477"/>
                      <c:h val="3.407527298044684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4-DDC0-49C5-B5CD-F96F3D3D7D63}"/>
                </c:ext>
              </c:extLst>
            </c:dLbl>
            <c:dLbl>
              <c:idx val="34"/>
              <c:layout>
                <c:manualLayout>
                  <c:x val="-4.5012137684622186E-2"/>
                  <c:y val="-2.2385763506713247E-2"/>
                </c:manualLayout>
              </c:layout>
              <c:spPr>
                <a:solidFill>
                  <a:sysClr val="window" lastClr="FFFFFF">
                    <a:alpha val="90000"/>
                  </a:sysClr>
                </a:solidFill>
                <a:ln w="12700" cap="flat" cmpd="sng" algn="ctr">
                  <a:solidFill>
                    <a:srgbClr val="5B9BD5">
                      <a:lumMod val="50000"/>
                    </a:srgbClr>
                  </a:solidFill>
                  <a:round/>
                </a:ln>
                <a:effectLst>
                  <a:outerShdw blurRad="50800" dist="38100" dir="2700000" algn="tl" rotWithShape="0">
                    <a:srgbClr val="5B9BD5">
                      <a:lumMod val="50000"/>
                      <a:lumMod val="75000"/>
                      <a:alpha val="40000"/>
                    </a:srgb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5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D-DDC0-49C5-B5CD-F96F3D3D7D63}"/>
                </c:ext>
              </c:extLst>
            </c:dLbl>
            <c:dLbl>
              <c:idx val="35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6">
                      <a:lumMod val="50000"/>
                    </a:schemeClr>
                  </a:solidFill>
                  <a:round/>
                </a:ln>
                <a:effectLst>
                  <a:outerShdw blurRad="50800" dist="38100" dir="2700000" algn="tl" rotWithShape="0">
                    <a:schemeClr val="accent6">
                      <a:lumMod val="50000"/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6">
                          <a:lumMod val="50000"/>
                        </a:schemeClr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2">
                      <a:avLst/>
                    </a:prstGeom>
                    <a:solidFill>
                      <a:schemeClr val="lt1">
                        <a:alpha val="90000"/>
                      </a:schemeClr>
                    </a:solidFill>
                    <a:ln w="12700" cap="flat" cmpd="sng" algn="ctr">
                      <a:solidFill>
                        <a:schemeClr val="accent1"/>
                      </a:solidFill>
                      <a:round/>
                    </a:ln>
                  </c15:spPr>
                </c:ext>
                <c:ext xmlns:c16="http://schemas.microsoft.com/office/drawing/2014/chart" uri="{C3380CC4-5D6E-409C-BE32-E72D297353CC}">
                  <c16:uniqueId val="{0000000E-DDC0-49C5-B5CD-F96F3D3D7D63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2">
                    <a:avLst/>
                  </a:prstGeom>
                  <a:solidFill>
                    <a:schemeClr val="lt1">
                      <a:alpha val="90000"/>
                    </a:schemeClr>
                  </a:solidFill>
                  <a:ln w="12700" cap="flat" cmpd="sng" algn="ctr">
                    <a:solidFill>
                      <a:schemeClr val="accent1"/>
                    </a:solidFill>
                    <a:round/>
                  </a:ln>
                </c15:spPr>
              </c:ext>
            </c:extLst>
          </c:dLbls>
          <c:cat>
            <c:strRef>
              <c:f>Foaie2!$B$3:$B$37</c:f>
              <c:strCache>
                <c:ptCount val="35"/>
                <c:pt idx="0">
                  <c:v>Academia Națională de Muzică "Gheorghe Dima " </c:v>
                </c:pt>
                <c:pt idx="1">
                  <c:v>Aida </c:v>
                </c:pt>
                <c:pt idx="2">
                  <c:v>Bal Mascat - </c:v>
                </c:pt>
                <c:pt idx="3">
                  <c:v>Bărbierul din Sevilla -</c:v>
                </c:pt>
                <c:pt idx="4">
                  <c:v>Boema - </c:v>
                </c:pt>
                <c:pt idx="5">
                  <c:v>City Beat Carmen -</c:v>
                </c:pt>
                <c:pt idx="6">
                  <c:v>Coppélia -</c:v>
                </c:pt>
                <c:pt idx="7">
                  <c:v>Die Fledermaus - </c:v>
                </c:pt>
                <c:pt idx="8">
                  <c:v>Don Giovanni - </c:v>
                </c:pt>
                <c:pt idx="9">
                  <c:v>Don Quijote - </c:v>
                </c:pt>
                <c:pt idx="10">
                  <c:v>Evgheni Oneghin -</c:v>
                </c:pt>
                <c:pt idx="11">
                  <c:v>Gala Goethe </c:v>
                </c:pt>
                <c:pt idx="12">
                  <c:v>Giselle - </c:v>
                </c:pt>
                <c:pt idx="13">
                  <c:v>La bohème - </c:v>
                </c:pt>
                <c:pt idx="14">
                  <c:v>La vision de Saül - Oratoriul de Paști - </c:v>
                </c:pt>
                <c:pt idx="15">
                  <c:v>Lăsați-mă să cânt -</c:v>
                </c:pt>
                <c:pt idx="16">
                  <c:v>Liliacul - </c:v>
                </c:pt>
                <c:pt idx="17">
                  <c:v>Macbeth -</c:v>
                </c:pt>
                <c:pt idx="18">
                  <c:v>Madama Butterfly - </c:v>
                </c:pt>
                <c:pt idx="19">
                  <c:v>My Fair Lady - </c:v>
                </c:pt>
                <c:pt idx="20">
                  <c:v>Nabucco - </c:v>
                </c:pt>
                <c:pt idx="21">
                  <c:v>Orfeu în infern </c:v>
                </c:pt>
                <c:pt idx="22">
                  <c:v>Puritanii -</c:v>
                </c:pt>
                <c:pt idx="23">
                  <c:v>Regal de Opera</c:v>
                </c:pt>
                <c:pt idx="24">
                  <c:v>Rigoletto - </c:v>
                </c:pt>
                <c:pt idx="25">
                  <c:v>Să descoperim Opera și tainele ei </c:v>
                </c:pt>
                <c:pt idx="26">
                  <c:v>Spărgătorul de Nuci - PREMIERA</c:v>
                </c:pt>
                <c:pt idx="27">
                  <c:v>Tineri artisti pe scena operei - </c:v>
                </c:pt>
                <c:pt idx="28">
                  <c:v>Tosca -</c:v>
                </c:pt>
                <c:pt idx="29">
                  <c:v>Traviata </c:v>
                </c:pt>
                <c:pt idx="30">
                  <c:v>Trubadurul - </c:v>
                </c:pt>
                <c:pt idx="31">
                  <c:v>Turandot - </c:v>
                </c:pt>
                <c:pt idx="32">
                  <c:v>Văduva Veselă - </c:v>
                </c:pt>
                <c:pt idx="33">
                  <c:v>Winter Delights </c:v>
                </c:pt>
                <c:pt idx="34">
                  <c:v>Zorba </c:v>
                </c:pt>
              </c:strCache>
            </c:strRef>
          </c:cat>
          <c:val>
            <c:numRef>
              <c:f>Foaie2!$C$3:$C$37</c:f>
              <c:numCache>
                <c:formatCode>General</c:formatCode>
                <c:ptCount val="35"/>
                <c:pt idx="0">
                  <c:v>624</c:v>
                </c:pt>
                <c:pt idx="1">
                  <c:v>693</c:v>
                </c:pt>
                <c:pt idx="2">
                  <c:v>1257</c:v>
                </c:pt>
                <c:pt idx="3">
                  <c:v>1561</c:v>
                </c:pt>
                <c:pt idx="4">
                  <c:v>526</c:v>
                </c:pt>
                <c:pt idx="5">
                  <c:v>1858</c:v>
                </c:pt>
                <c:pt idx="6">
                  <c:v>2006</c:v>
                </c:pt>
                <c:pt idx="7">
                  <c:v>652</c:v>
                </c:pt>
                <c:pt idx="8">
                  <c:v>1883</c:v>
                </c:pt>
                <c:pt idx="9">
                  <c:v>1835</c:v>
                </c:pt>
                <c:pt idx="10">
                  <c:v>707</c:v>
                </c:pt>
                <c:pt idx="11">
                  <c:v>706</c:v>
                </c:pt>
                <c:pt idx="12">
                  <c:v>1254</c:v>
                </c:pt>
                <c:pt idx="13">
                  <c:v>605</c:v>
                </c:pt>
                <c:pt idx="14">
                  <c:v>730</c:v>
                </c:pt>
                <c:pt idx="15">
                  <c:v>499</c:v>
                </c:pt>
                <c:pt idx="16">
                  <c:v>712</c:v>
                </c:pt>
                <c:pt idx="17">
                  <c:v>1803</c:v>
                </c:pt>
                <c:pt idx="18">
                  <c:v>743</c:v>
                </c:pt>
                <c:pt idx="19">
                  <c:v>2641</c:v>
                </c:pt>
                <c:pt idx="20">
                  <c:v>911</c:v>
                </c:pt>
                <c:pt idx="21">
                  <c:v>818</c:v>
                </c:pt>
                <c:pt idx="22">
                  <c:v>819</c:v>
                </c:pt>
                <c:pt idx="23">
                  <c:v>646</c:v>
                </c:pt>
                <c:pt idx="24">
                  <c:v>917</c:v>
                </c:pt>
                <c:pt idx="25">
                  <c:v>610</c:v>
                </c:pt>
                <c:pt idx="26">
                  <c:v>5446</c:v>
                </c:pt>
                <c:pt idx="27">
                  <c:v>176</c:v>
                </c:pt>
                <c:pt idx="28">
                  <c:v>912</c:v>
                </c:pt>
                <c:pt idx="29">
                  <c:v>1828</c:v>
                </c:pt>
                <c:pt idx="30">
                  <c:v>1075</c:v>
                </c:pt>
                <c:pt idx="31">
                  <c:v>896</c:v>
                </c:pt>
                <c:pt idx="32">
                  <c:v>1804</c:v>
                </c:pt>
                <c:pt idx="33">
                  <c:v>1255</c:v>
                </c:pt>
                <c:pt idx="34">
                  <c:v>1584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0-49C5-B5CD-F96F3D3D7D63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o-R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70"/>
      <c:rotY val="0"/>
      <c:depthPercent val="16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2.1333522674611777E-2"/>
          <c:y val="0.11150090499302522"/>
          <c:w val="0.96232810707761851"/>
          <c:h val="0.6322853282392955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20A-4E58-A58A-3807F1B07E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020A-4E58-A58A-3807F1B07E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73B-44D2-8576-F3FA66DA206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73B-44D2-8576-F3FA66DA206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20A-4E58-A58A-3807F1B07E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20A-4E58-A58A-3807F1B07E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73B-44D2-8576-F3FA66DA206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0-020A-4E58-A58A-3807F1B07E51}"/>
              </c:ext>
            </c:extLst>
          </c:dPt>
          <c:dPt>
            <c:idx val="8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0A-4E58-A58A-3807F1B07E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20A-4E58-A58A-3807F1B07E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4-020A-4E58-A58A-3807F1B07E5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20A-4E58-A58A-3807F1B07E5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0A-4E58-A58A-3807F1B07E5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020A-4E58-A58A-3807F1B07E5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20A-4E58-A58A-3807F1B07E5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8-020A-4E58-A58A-3807F1B07E5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020A-4E58-A58A-3807F1B07E5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020A-4E58-A58A-3807F1B07E5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873B-44D2-8576-F3FA66DA206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020A-4E58-A58A-3807F1B07E5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873B-44D2-8576-F3FA66DA206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873B-44D2-8576-F3FA66DA206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873B-44D2-8576-F3FA66DA206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873B-44D2-8576-F3FA66DA206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20A-4E58-A58A-3807F1B07E51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0A-4E58-A58A-3807F1B07E51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0A-4E58-A58A-3807F1B07E51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20A-4E58-A58A-3807F1B07E51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020A-4E58-A58A-3807F1B07E51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6-020A-4E58-A58A-3807F1B07E51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873B-44D2-8576-F3FA66DA206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873B-44D2-8576-F3FA66DA206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873B-44D2-8576-F3FA66DA206C}"/>
              </c:ext>
            </c:extLst>
          </c:dPt>
          <c:dPt>
            <c:idx val="33"/>
            <c:bubble3D val="0"/>
            <c:spPr>
              <a:solidFill>
                <a:srgbClr val="FFFF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20A-4E58-A58A-3807F1B07E51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020A-4E58-A58A-3807F1B07E51}"/>
              </c:ext>
            </c:extLst>
          </c:dPt>
          <c:dLbls>
            <c:dLbl>
              <c:idx val="0"/>
              <c:layout>
                <c:manualLayout>
                  <c:x val="-0.10046422222361823"/>
                  <c:y val="1.4559051275252379E-3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56469807744528"/>
                      <c:h val="4.545309215557425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20A-4E58-A58A-3807F1B07E51}"/>
                </c:ext>
              </c:extLst>
            </c:dLbl>
            <c:dLbl>
              <c:idx val="1"/>
              <c:layout>
                <c:manualLayout>
                  <c:x val="-2.6630724344211605E-2"/>
                  <c:y val="8.5472844444956821E-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05623706973414"/>
                      <c:h val="3.49180510562094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2-020A-4E58-A58A-3807F1B07E51}"/>
                </c:ext>
              </c:extLst>
            </c:dLbl>
            <c:dLbl>
              <c:idx val="2"/>
              <c:layout>
                <c:manualLayout>
                  <c:x val="-6.1951508759111824E-2"/>
                  <c:y val="4.001952171791117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5732103048629457E-2"/>
                      <c:h val="2.74490725262563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873B-44D2-8576-F3FA66DA206C}"/>
                </c:ext>
              </c:extLst>
            </c:dLbl>
            <c:dLbl>
              <c:idx val="3"/>
              <c:layout>
                <c:manualLayout>
                  <c:x val="-0.10110921830055723"/>
                  <c:y val="5.4172767203513911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262979317536694E-2"/>
                      <c:h val="3.916210327296203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873B-44D2-8576-F3FA66DA206C}"/>
                </c:ext>
              </c:extLst>
            </c:dLbl>
            <c:dLbl>
              <c:idx val="4"/>
              <c:layout>
                <c:manualLayout>
                  <c:x val="-2.4046822042554802E-2"/>
                  <c:y val="1.2586038144367031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20A-4E58-A58A-3807F1B07E51}"/>
                </c:ext>
              </c:extLst>
            </c:dLbl>
            <c:dLbl>
              <c:idx val="5"/>
              <c:layout>
                <c:manualLayout>
                  <c:x val="-4.4857786915060802E-2"/>
                  <c:y val="2.517207628873412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492581161761467"/>
                      <c:h val="3.63761278037846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020A-4E58-A58A-3807F1B07E51}"/>
                </c:ext>
              </c:extLst>
            </c:dLbl>
            <c:dLbl>
              <c:idx val="6"/>
              <c:layout>
                <c:manualLayout>
                  <c:x val="-8.466698789643104E-2"/>
                  <c:y val="1.512933138116154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678902304778393"/>
                      <c:h val="2.64729866306975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873B-44D2-8576-F3FA66DA206C}"/>
                </c:ext>
              </c:extLst>
            </c:dLbl>
            <c:dLbl>
              <c:idx val="7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2502789983485018E-2"/>
                      <c:h val="3.00831210154367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0-020A-4E58-A58A-3807F1B07E51}"/>
                </c:ext>
              </c:extLst>
            </c:dLbl>
            <c:dLbl>
              <c:idx val="8"/>
              <c:layout>
                <c:manualLayout>
                  <c:x val="-0.20605401092000136"/>
                  <c:y val="2.3162317821857535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1060470148125216E-2"/>
                      <c:h val="2.54969007351387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20A-4E58-A58A-3807F1B07E51}"/>
                </c:ext>
              </c:extLst>
            </c:dLbl>
            <c:dLbl>
              <c:idx val="9"/>
              <c:layout>
                <c:manualLayout>
                  <c:x val="-9.4992230322825069E-2"/>
                  <c:y val="-4.0904608739427334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0A-4E58-A58A-3807F1B07E51}"/>
                </c:ext>
              </c:extLst>
            </c:dLbl>
            <c:dLbl>
              <c:idx val="10"/>
              <c:layout>
                <c:manualLayout>
                  <c:x val="-9.6368387305534493E-3"/>
                  <c:y val="-2.636638575375742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36114716966406"/>
                      <c:h val="4.501861864631489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4-020A-4E58-A58A-3807F1B07E51}"/>
                </c:ext>
              </c:extLst>
            </c:dLbl>
            <c:dLbl>
              <c:idx val="11"/>
              <c:layout>
                <c:manualLayout>
                  <c:x val="-4.2455554031912521E-2"/>
                  <c:y val="-2.533273384750771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548531620445156E-2"/>
                      <c:h val="2.354472894402108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5-020A-4E58-A58A-3807F1B07E51}"/>
                </c:ext>
              </c:extLst>
            </c:dLbl>
            <c:dLbl>
              <c:idx val="12"/>
              <c:layout>
                <c:manualLayout>
                  <c:x val="-5.1903882562156063E-2"/>
                  <c:y val="-3.803395549202030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6665523952647774E-2"/>
                      <c:h val="2.85098539635552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20A-4E58-A58A-3807F1B07E51}"/>
                </c:ext>
              </c:extLst>
            </c:dLbl>
            <c:dLbl>
              <c:idx val="13"/>
              <c:layout>
                <c:manualLayout>
                  <c:x val="-6.3281110638302111E-3"/>
                  <c:y val="-2.3598821520688238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0A-4E58-A58A-3807F1B07E51}"/>
                </c:ext>
              </c:extLst>
            </c:dLbl>
            <c:dLbl>
              <c:idx val="14"/>
              <c:layout>
                <c:manualLayout>
                  <c:x val="4.7669511953544699E-2"/>
                  <c:y val="3.8033717850048665E-4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0163207057571869E-2"/>
                      <c:h val="5.73109217863140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020A-4E58-A58A-3807F1B07E51}"/>
                </c:ext>
              </c:extLst>
            </c:dLbl>
            <c:dLbl>
              <c:idx val="15"/>
              <c:layout>
                <c:manualLayout>
                  <c:x val="9.039258205865898E-2"/>
                  <c:y val="-2.970331371300481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260115261311122"/>
                      <c:h val="1.593895437626509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8-020A-4E58-A58A-3807F1B07E51}"/>
                </c:ext>
              </c:extLst>
            </c:dLbl>
            <c:dLbl>
              <c:idx val="16"/>
              <c:layout>
                <c:manualLayout>
                  <c:x val="-2.5957016089265855E-2"/>
                  <c:y val="1.676017282496636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9846124077435525E-2"/>
                      <c:h val="2.84251584218151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020A-4E58-A58A-3807F1B07E51}"/>
                </c:ext>
              </c:extLst>
            </c:dLbl>
            <c:dLbl>
              <c:idx val="17"/>
              <c:layout>
                <c:manualLayout>
                  <c:x val="-0.10845634644684289"/>
                  <c:y val="-0.1215817587223267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7.7163391827668099E-2"/>
                      <c:h val="3.952263733987641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020A-4E58-A58A-3807F1B07E51}"/>
                </c:ext>
              </c:extLst>
            </c:dLbl>
            <c:dLbl>
              <c:idx val="18"/>
              <c:dLblPos val="outEnd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995586433119259"/>
                      <c:h val="2.940124431737394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5-873B-44D2-8576-F3FA66DA206C}"/>
                </c:ext>
              </c:extLst>
            </c:dLbl>
            <c:dLbl>
              <c:idx val="19"/>
              <c:layout>
                <c:manualLayout>
                  <c:x val="1.1488932478334101E-3"/>
                  <c:y val="-0.16841712684889498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8750"/>
                        <a:gd name="adj2" fmla="val -8333"/>
                        <a:gd name="adj3" fmla="val -356805"/>
                        <a:gd name="adj4" fmla="val 47309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2044717322780509E-2"/>
                      <c:h val="7.25609874688399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020A-4E58-A58A-3807F1B07E51}"/>
                </c:ext>
              </c:extLst>
            </c:dLbl>
            <c:dLbl>
              <c:idx val="20"/>
              <c:layout>
                <c:manualLayout>
                  <c:x val="1.0403399904498283E-2"/>
                  <c:y val="-2.049780380673499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2743116098543452E-2"/>
                      <c:h val="3.4281673795167993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9-873B-44D2-8576-F3FA66DA206C}"/>
                </c:ext>
              </c:extLst>
            </c:dLbl>
            <c:dLbl>
              <c:idx val="21"/>
              <c:layout>
                <c:manualLayout>
                  <c:x val="9.6368929313010946E-3"/>
                  <c:y val="-2.342606149341156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73B-44D2-8576-F3FA66DA206C}"/>
                </c:ext>
              </c:extLst>
            </c:dLbl>
            <c:dLbl>
              <c:idx val="22"/>
              <c:layout>
                <c:manualLayout>
                  <c:x val="4.1300969705575993E-3"/>
                  <c:y val="-2.342606149341156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73B-44D2-8576-F3FA66DA206C}"/>
                </c:ext>
              </c:extLst>
            </c:dLbl>
            <c:dLbl>
              <c:idx val="23"/>
              <c:layout>
                <c:manualLayout>
                  <c:x val="4.1300969705576115E-3"/>
                  <c:y val="-2.3426061493411421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73B-44D2-8576-F3FA66DA206C}"/>
                </c:ext>
              </c:extLst>
            </c:dLbl>
            <c:dLbl>
              <c:idx val="24"/>
              <c:layout>
                <c:manualLayout>
                  <c:x val="-4.7403431882939396E-3"/>
                  <c:y val="-2.635431918008791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714251404392207"/>
                      <c:h val="2.53633444274634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020A-4E58-A58A-3807F1B07E51}"/>
                </c:ext>
              </c:extLst>
            </c:dLbl>
            <c:dLbl>
              <c:idx val="25"/>
              <c:layout>
                <c:manualLayout>
                  <c:x val="-2.1949105104570349E-2"/>
                  <c:y val="-4.169589128748404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661283809748872"/>
                      <c:h val="3.96678233668814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20A-4E58-A58A-3807F1B07E51}"/>
                </c:ext>
              </c:extLst>
            </c:dLbl>
            <c:dLbl>
              <c:idx val="26"/>
              <c:layout>
                <c:manualLayout>
                  <c:x val="0.10377938882226544"/>
                  <c:y val="-5.805580867085147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460979526751589"/>
                      <c:h val="6.2678241354530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20A-4E58-A58A-3807F1B07E51}"/>
                </c:ext>
              </c:extLst>
            </c:dLbl>
            <c:dLbl>
              <c:idx val="27"/>
              <c:layout>
                <c:manualLayout>
                  <c:x val="-6.1169879777321651E-3"/>
                  <c:y val="-1.464125000480357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0726598962706091"/>
                      <c:h val="3.794937419059805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020A-4E58-A58A-3807F1B07E51}"/>
                </c:ext>
              </c:extLst>
            </c:dLbl>
            <c:dLbl>
              <c:idx val="28"/>
              <c:layout>
                <c:manualLayout>
                  <c:x val="0.14353181827790129"/>
                  <c:y val="3.0457953370762767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6227969428610288E-2"/>
                      <c:h val="3.540002228857556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020A-4E58-A58A-3807F1B07E51}"/>
                </c:ext>
              </c:extLst>
            </c:dLbl>
            <c:dLbl>
              <c:idx val="29"/>
              <c:layout>
                <c:manualLayout>
                  <c:x val="0.13981310498197011"/>
                  <c:y val="4.9780419102077797E-2"/>
                </c:manualLayout>
              </c:layout>
              <c:spPr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>
                        <a:gd name="adj1" fmla="val 18750"/>
                        <a:gd name="adj2" fmla="val -8333"/>
                        <a:gd name="adj3" fmla="val 182292"/>
                        <a:gd name="adj4" fmla="val 137005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868088282630379"/>
                      <c:h val="3.322961826769289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6-020A-4E58-A58A-3807F1B07E51}"/>
                </c:ext>
              </c:extLst>
            </c:dLbl>
            <c:dLbl>
              <c:idx val="30"/>
              <c:layout>
                <c:manualLayout>
                  <c:x val="4.4742717181040802E-2"/>
                  <c:y val="4.0507564665690547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2492524361881042E-2"/>
                      <c:h val="2.842515842181513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D-873B-44D2-8576-F3FA66DA206C}"/>
                </c:ext>
              </c:extLst>
            </c:dLbl>
            <c:dLbl>
              <c:idx val="31"/>
              <c:layout>
                <c:manualLayout>
                  <c:x val="0.11357766669033434"/>
                  <c:y val="5.7589067837969743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142564226530927E-2"/>
                      <c:h val="2.549690073513870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F-873B-44D2-8576-F3FA66DA206C}"/>
                </c:ext>
              </c:extLst>
            </c:dLbl>
            <c:dLbl>
              <c:idx val="32"/>
              <c:layout>
                <c:manualLayout>
                  <c:x val="5.2314561627063071E-2"/>
                  <c:y val="6.2469497315763789E-2"/>
                </c:manualLayout>
              </c:layout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443916589385428E-2"/>
                      <c:h val="3.525775969072680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1-873B-44D2-8576-F3FA66DA206C}"/>
                </c:ext>
              </c:extLst>
            </c:dLbl>
            <c:dLbl>
              <c:idx val="33"/>
              <c:layout>
                <c:manualLayout>
                  <c:x val="4.4132537318289942E-2"/>
                  <c:y val="5.0756511139554442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9.5057162818503904E-2"/>
                      <c:h val="3.008312101543675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20A-4E58-A58A-3807F1B07E51}"/>
                </c:ext>
              </c:extLst>
            </c:dLbl>
            <c:dLbl>
              <c:idx val="34"/>
              <c:layout>
                <c:manualLayout>
                  <c:x val="-8.6708801751539926E-3"/>
                  <c:y val="5.3862100764566843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8.3532891452704705E-2"/>
                      <c:h val="3.637610818413437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020A-4E58-A58A-3807F1B07E51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Foaie3!$A$2:$A$36</c:f>
              <c:strCache>
                <c:ptCount val="35"/>
                <c:pt idx="0">
                  <c:v>Academia Națională de Muzică "Gheorghe Dima " - </c:v>
                </c:pt>
                <c:pt idx="1">
                  <c:v>Aida -</c:v>
                </c:pt>
                <c:pt idx="2">
                  <c:v>Bal Mascat - </c:v>
                </c:pt>
                <c:pt idx="3">
                  <c:v>Bărbierul din Sevilla - </c:v>
                </c:pt>
                <c:pt idx="4">
                  <c:v>Boema - </c:v>
                </c:pt>
                <c:pt idx="5">
                  <c:v>City Beat Carmen - </c:v>
                </c:pt>
                <c:pt idx="6">
                  <c:v>Coppélia -</c:v>
                </c:pt>
                <c:pt idx="7">
                  <c:v>Die Fledermaus - </c:v>
                </c:pt>
                <c:pt idx="8">
                  <c:v>Don Giovanni - </c:v>
                </c:pt>
                <c:pt idx="9">
                  <c:v>Don Quijote </c:v>
                </c:pt>
                <c:pt idx="10">
                  <c:v>Evgheni Oneghin </c:v>
                </c:pt>
                <c:pt idx="11">
                  <c:v>Gala Goethe -</c:v>
                </c:pt>
                <c:pt idx="12">
                  <c:v>Giselle -</c:v>
                </c:pt>
                <c:pt idx="13">
                  <c:v>La bohème -</c:v>
                </c:pt>
                <c:pt idx="14">
                  <c:v>La vision de Saül - Oratoriul de Paști - </c:v>
                </c:pt>
                <c:pt idx="15">
                  <c:v>Lăsați-mă să cânt - </c:v>
                </c:pt>
                <c:pt idx="16">
                  <c:v>Liliacul -</c:v>
                </c:pt>
                <c:pt idx="17">
                  <c:v>Macbeth -</c:v>
                </c:pt>
                <c:pt idx="18">
                  <c:v>Madama Butterfly - </c:v>
                </c:pt>
                <c:pt idx="19">
                  <c:v>My Fair Lady -</c:v>
                </c:pt>
                <c:pt idx="20">
                  <c:v>Nabucco - </c:v>
                </c:pt>
                <c:pt idx="21">
                  <c:v>Orfeu în infern -</c:v>
                </c:pt>
                <c:pt idx="22">
                  <c:v>Puritanii - </c:v>
                </c:pt>
                <c:pt idx="23">
                  <c:v>Regal de Opera - </c:v>
                </c:pt>
                <c:pt idx="24">
                  <c:v>Rigoletto -</c:v>
                </c:pt>
                <c:pt idx="25">
                  <c:v>Să descoperim Opera și tainele ei -</c:v>
                </c:pt>
                <c:pt idx="26">
                  <c:v>Spărgătorul de Nuci - PREMIERA -</c:v>
                </c:pt>
                <c:pt idx="27">
                  <c:v>Tineri artisti pe scena operei -</c:v>
                </c:pt>
                <c:pt idx="28">
                  <c:v>Tosca -</c:v>
                </c:pt>
                <c:pt idx="29">
                  <c:v>Traviata -</c:v>
                </c:pt>
                <c:pt idx="30">
                  <c:v>Trubadurul -</c:v>
                </c:pt>
                <c:pt idx="31">
                  <c:v>Turandot -</c:v>
                </c:pt>
                <c:pt idx="32">
                  <c:v>Văduva Veselă - </c:v>
                </c:pt>
                <c:pt idx="33">
                  <c:v>Winter Delights </c:v>
                </c:pt>
                <c:pt idx="34">
                  <c:v>Zorba -</c:v>
                </c:pt>
              </c:strCache>
            </c:strRef>
          </c:cat>
          <c:val>
            <c:numRef>
              <c:f>Foaie3!$B$2:$B$36</c:f>
              <c:numCache>
                <c:formatCode>#,##0</c:formatCode>
                <c:ptCount val="35"/>
                <c:pt idx="0">
                  <c:v>3460</c:v>
                </c:pt>
                <c:pt idx="1">
                  <c:v>25032</c:v>
                </c:pt>
                <c:pt idx="2">
                  <c:v>43975</c:v>
                </c:pt>
                <c:pt idx="3">
                  <c:v>49305</c:v>
                </c:pt>
                <c:pt idx="4">
                  <c:v>15808</c:v>
                </c:pt>
                <c:pt idx="5">
                  <c:v>61717</c:v>
                </c:pt>
                <c:pt idx="6">
                  <c:v>57300</c:v>
                </c:pt>
                <c:pt idx="7">
                  <c:v>19352</c:v>
                </c:pt>
                <c:pt idx="8">
                  <c:v>62568</c:v>
                </c:pt>
                <c:pt idx="9">
                  <c:v>58620</c:v>
                </c:pt>
                <c:pt idx="10">
                  <c:v>22263</c:v>
                </c:pt>
                <c:pt idx="11">
                  <c:v>29380</c:v>
                </c:pt>
                <c:pt idx="12">
                  <c:v>42868</c:v>
                </c:pt>
                <c:pt idx="13">
                  <c:v>19888</c:v>
                </c:pt>
                <c:pt idx="14">
                  <c:v>9278</c:v>
                </c:pt>
                <c:pt idx="15">
                  <c:v>12085</c:v>
                </c:pt>
                <c:pt idx="16">
                  <c:v>29205</c:v>
                </c:pt>
                <c:pt idx="17">
                  <c:v>67595</c:v>
                </c:pt>
                <c:pt idx="18">
                  <c:v>20955</c:v>
                </c:pt>
                <c:pt idx="19">
                  <c:v>92815</c:v>
                </c:pt>
                <c:pt idx="20">
                  <c:v>28578</c:v>
                </c:pt>
                <c:pt idx="21">
                  <c:v>26235</c:v>
                </c:pt>
                <c:pt idx="22">
                  <c:v>18325</c:v>
                </c:pt>
                <c:pt idx="23">
                  <c:v>19498</c:v>
                </c:pt>
                <c:pt idx="24">
                  <c:v>31863</c:v>
                </c:pt>
                <c:pt idx="25">
                  <c:v>6100</c:v>
                </c:pt>
                <c:pt idx="26">
                  <c:v>186825</c:v>
                </c:pt>
                <c:pt idx="27">
                  <c:v>2170</c:v>
                </c:pt>
                <c:pt idx="28">
                  <c:v>31928</c:v>
                </c:pt>
                <c:pt idx="29">
                  <c:v>55502</c:v>
                </c:pt>
                <c:pt idx="30">
                  <c:v>34200</c:v>
                </c:pt>
                <c:pt idx="31">
                  <c:v>31670</c:v>
                </c:pt>
                <c:pt idx="32">
                  <c:v>59563</c:v>
                </c:pt>
                <c:pt idx="33">
                  <c:v>47970</c:v>
                </c:pt>
                <c:pt idx="34">
                  <c:v>46488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0A-4E58-A58A-3807F1B07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612071046959615E-2"/>
          <c:y val="0.78252297537060533"/>
          <c:w val="0.9561961211660871"/>
          <c:h val="0.208037418659215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57151</xdr:colOff>
      <xdr:row>2</xdr:row>
      <xdr:rowOff>0</xdr:rowOff>
    </xdr:from>
    <xdr:to>
      <xdr:col>19</xdr:col>
      <xdr:colOff>104775</xdr:colOff>
      <xdr:row>37</xdr:row>
      <xdr:rowOff>123825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0437A028-59C2-4B62-9E52-1E01CA6C7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0</xdr:colOff>
      <xdr:row>0</xdr:row>
      <xdr:rowOff>0</xdr:rowOff>
    </xdr:from>
    <xdr:to>
      <xdr:col>19</xdr:col>
      <xdr:colOff>142875</xdr:colOff>
      <xdr:row>0</xdr:row>
      <xdr:rowOff>447674</xdr:rowOff>
    </xdr:to>
    <xdr:pic>
      <xdr:nvPicPr>
        <xdr:cNvPr id="4" name="Imagine 3">
          <a:extLst>
            <a:ext uri="{FF2B5EF4-FFF2-40B4-BE49-F238E27FC236}">
              <a16:creationId xmlns:a16="http://schemas.microsoft.com/office/drawing/2014/main" id="{74ABB1C6-A228-476D-A741-A2EA4B5D6FC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48925" y="0"/>
          <a:ext cx="990600" cy="4476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133353</xdr:colOff>
      <xdr:row>2</xdr:row>
      <xdr:rowOff>133351</xdr:rowOff>
    </xdr:from>
    <xdr:to>
      <xdr:col>14</xdr:col>
      <xdr:colOff>123825</xdr:colOff>
      <xdr:row>33</xdr:row>
      <xdr:rowOff>257175</xdr:rowOff>
    </xdr:to>
    <xdr:graphicFrame macro="">
      <xdr:nvGraphicFramePr>
        <xdr:cNvPr id="2" name="Diagramă 1">
          <a:extLst>
            <a:ext uri="{FF2B5EF4-FFF2-40B4-BE49-F238E27FC236}">
              <a16:creationId xmlns:a16="http://schemas.microsoft.com/office/drawing/2014/main" id="{4BCA2A61-F712-4265-B5B9-88FB239F4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157161</xdr:colOff>
      <xdr:row>2</xdr:row>
      <xdr:rowOff>85725</xdr:rowOff>
    </xdr:from>
    <xdr:to>
      <xdr:col>16</xdr:col>
      <xdr:colOff>95250</xdr:colOff>
      <xdr:row>55</xdr:row>
      <xdr:rowOff>38100</xdr:rowOff>
    </xdr:to>
    <xdr:graphicFrame macro="">
      <xdr:nvGraphicFramePr>
        <xdr:cNvPr id="3" name="Diagramă 2">
          <a:extLst>
            <a:ext uri="{FF2B5EF4-FFF2-40B4-BE49-F238E27FC236}">
              <a16:creationId xmlns:a16="http://schemas.microsoft.com/office/drawing/2014/main" id="{7271F791-DA66-4F7B-9359-F7C01EC42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12"/>
  <sheetViews>
    <sheetView workbookViewId="0">
      <selection activeCell="K78" sqref="K78"/>
    </sheetView>
  </sheetViews>
  <sheetFormatPr defaultRowHeight="15" x14ac:dyDescent="0.25"/>
  <cols>
    <col min="1" max="1" width="42.42578125" customWidth="1"/>
    <col min="2" max="2" width="9.7109375" customWidth="1"/>
    <col min="3" max="3" width="9" customWidth="1"/>
    <col min="4" max="4" width="7.85546875" style="35" customWidth="1"/>
    <col min="5" max="5" width="10.7109375" customWidth="1"/>
    <col min="6" max="6" width="11.7109375" customWidth="1"/>
    <col min="7" max="7" width="11" style="8" customWidth="1"/>
    <col min="8" max="8" width="11.7109375" customWidth="1"/>
    <col min="9" max="9" width="11" customWidth="1"/>
    <col min="10" max="10" width="9.7109375" customWidth="1"/>
    <col min="11" max="11" width="40.28515625" customWidth="1"/>
    <col min="15" max="15" width="9" bestFit="1" customWidth="1"/>
  </cols>
  <sheetData>
    <row r="1" spans="1:17" ht="50.25" customHeight="1" x14ac:dyDescent="0.25">
      <c r="A1" s="1" t="s">
        <v>0</v>
      </c>
      <c r="B1" s="1" t="s">
        <v>1</v>
      </c>
      <c r="C1" s="1" t="s">
        <v>2</v>
      </c>
      <c r="D1" s="31" t="s">
        <v>3</v>
      </c>
      <c r="E1" s="1" t="s">
        <v>1</v>
      </c>
      <c r="F1" s="1" t="s">
        <v>2</v>
      </c>
      <c r="G1" s="7" t="s">
        <v>4</v>
      </c>
      <c r="H1" s="1" t="s">
        <v>5</v>
      </c>
      <c r="I1" s="1" t="s">
        <v>6</v>
      </c>
      <c r="J1" s="1" t="s">
        <v>7</v>
      </c>
      <c r="K1" s="1" t="s">
        <v>0</v>
      </c>
      <c r="L1" s="29" t="s">
        <v>71</v>
      </c>
      <c r="M1" s="1" t="s">
        <v>72</v>
      </c>
      <c r="N1" s="30" t="s">
        <v>73</v>
      </c>
      <c r="O1" s="30" t="s">
        <v>74</v>
      </c>
      <c r="P1" s="28" t="s">
        <v>75</v>
      </c>
      <c r="Q1" s="27" t="s">
        <v>76</v>
      </c>
    </row>
    <row r="2" spans="1:17" ht="30" x14ac:dyDescent="0.25">
      <c r="A2" s="26" t="s">
        <v>64</v>
      </c>
      <c r="B2" s="2">
        <v>1</v>
      </c>
      <c r="C2" s="12"/>
      <c r="D2" s="32">
        <v>1</v>
      </c>
      <c r="E2" s="5">
        <v>300</v>
      </c>
      <c r="F2" s="12"/>
      <c r="G2" s="9">
        <v>300</v>
      </c>
      <c r="H2" s="5">
        <v>0</v>
      </c>
      <c r="I2" s="5">
        <v>17.850000000000001</v>
      </c>
      <c r="J2" s="5">
        <v>0</v>
      </c>
      <c r="L2" s="12"/>
      <c r="M2" s="12"/>
      <c r="N2" s="12"/>
      <c r="O2" s="12"/>
    </row>
    <row r="3" spans="1:17" x14ac:dyDescent="0.25">
      <c r="A3" s="26"/>
      <c r="B3" s="2"/>
      <c r="C3" s="12"/>
      <c r="D3" s="32"/>
      <c r="E3" s="5"/>
      <c r="F3" s="12"/>
      <c r="G3" s="9"/>
      <c r="H3" s="5"/>
      <c r="I3" s="5"/>
      <c r="J3" s="5"/>
      <c r="L3" s="12"/>
      <c r="M3" s="12"/>
      <c r="N3" s="12"/>
      <c r="O3" s="12"/>
    </row>
    <row r="4" spans="1:17" ht="30" x14ac:dyDescent="0.25">
      <c r="A4" s="26" t="s">
        <v>52</v>
      </c>
      <c r="B4" s="23">
        <v>36</v>
      </c>
      <c r="C4" s="23">
        <v>588</v>
      </c>
      <c r="D4" s="33">
        <v>624</v>
      </c>
      <c r="E4" s="24">
        <v>2145</v>
      </c>
      <c r="F4" s="24">
        <v>1315</v>
      </c>
      <c r="G4" s="25">
        <v>3460</v>
      </c>
      <c r="H4" s="24">
        <v>855</v>
      </c>
      <c r="I4" s="24">
        <v>205.87</v>
      </c>
      <c r="J4" s="24">
        <v>294</v>
      </c>
      <c r="K4" s="26" t="s">
        <v>52</v>
      </c>
      <c r="L4" s="2">
        <v>1</v>
      </c>
      <c r="M4" s="38">
        <v>624</v>
      </c>
      <c r="N4" s="12">
        <v>3460</v>
      </c>
      <c r="O4" s="12"/>
      <c r="Q4" s="40"/>
    </row>
    <row r="5" spans="1:17" x14ac:dyDescent="0.25">
      <c r="A5" s="26"/>
      <c r="B5" s="2"/>
      <c r="C5" s="2"/>
      <c r="D5" s="32"/>
      <c r="E5" s="5"/>
      <c r="F5" s="5"/>
      <c r="G5" s="9"/>
      <c r="H5" s="5"/>
      <c r="I5" s="5"/>
      <c r="J5" s="5"/>
      <c r="L5" s="12"/>
      <c r="M5" s="22"/>
      <c r="N5" s="12"/>
      <c r="O5" s="12"/>
    </row>
    <row r="6" spans="1:17" x14ac:dyDescent="0.25">
      <c r="A6" s="12" t="s">
        <v>40</v>
      </c>
      <c r="B6" s="4">
        <v>273</v>
      </c>
      <c r="C6" s="4">
        <v>420</v>
      </c>
      <c r="D6" s="32">
        <v>693</v>
      </c>
      <c r="E6" s="10">
        <v>17205</v>
      </c>
      <c r="F6" s="10">
        <v>7827.5</v>
      </c>
      <c r="G6" s="9">
        <v>25032.5</v>
      </c>
      <c r="H6" s="10">
        <v>7852.5</v>
      </c>
      <c r="I6" s="10">
        <v>1489.43</v>
      </c>
      <c r="J6" s="10">
        <v>212</v>
      </c>
      <c r="K6" s="12" t="s">
        <v>40</v>
      </c>
      <c r="L6" s="2">
        <v>1</v>
      </c>
      <c r="M6" s="3">
        <v>693</v>
      </c>
      <c r="N6" s="12">
        <v>25032</v>
      </c>
      <c r="O6" s="12"/>
    </row>
    <row r="7" spans="1:17" x14ac:dyDescent="0.25">
      <c r="A7" s="12"/>
      <c r="B7" s="2"/>
      <c r="C7" s="2"/>
      <c r="D7" s="32"/>
      <c r="E7" s="5"/>
      <c r="F7" s="5"/>
      <c r="G7" s="9"/>
      <c r="H7" s="5"/>
      <c r="I7" s="5"/>
      <c r="J7" s="5"/>
      <c r="L7" s="12"/>
      <c r="M7" s="22"/>
      <c r="N7" s="12"/>
      <c r="O7" s="12"/>
    </row>
    <row r="8" spans="1:17" x14ac:dyDescent="0.25">
      <c r="A8" s="12" t="s">
        <v>57</v>
      </c>
      <c r="B8" s="2">
        <v>192</v>
      </c>
      <c r="C8" s="2">
        <v>275</v>
      </c>
      <c r="D8" s="32">
        <v>467</v>
      </c>
      <c r="E8" s="5">
        <v>11575</v>
      </c>
      <c r="F8" s="5">
        <v>5132.5</v>
      </c>
      <c r="G8" s="9">
        <v>16707.5</v>
      </c>
      <c r="H8" s="5">
        <v>4877.5</v>
      </c>
      <c r="I8" s="5">
        <v>994.1</v>
      </c>
      <c r="J8" s="5">
        <v>142</v>
      </c>
      <c r="L8" s="12"/>
      <c r="M8" s="22"/>
      <c r="N8" s="12"/>
      <c r="O8" s="12"/>
    </row>
    <row r="9" spans="1:17" x14ac:dyDescent="0.25">
      <c r="A9" s="12" t="s">
        <v>22</v>
      </c>
      <c r="B9" s="2">
        <v>274</v>
      </c>
      <c r="C9" s="2">
        <v>516</v>
      </c>
      <c r="D9" s="32">
        <v>790</v>
      </c>
      <c r="E9" s="5">
        <v>16505</v>
      </c>
      <c r="F9" s="5">
        <v>10762.5</v>
      </c>
      <c r="G9" s="9">
        <v>27267.5</v>
      </c>
      <c r="H9" s="5">
        <v>10562.5</v>
      </c>
      <c r="I9" s="5">
        <v>1622.42</v>
      </c>
      <c r="J9" s="5">
        <v>309.7</v>
      </c>
      <c r="L9" s="12"/>
      <c r="M9" s="22"/>
      <c r="N9" s="12"/>
      <c r="O9" s="12"/>
    </row>
    <row r="10" spans="1:17" x14ac:dyDescent="0.25">
      <c r="A10" s="12"/>
      <c r="B10" s="4">
        <f t="shared" ref="B10:J10" si="0">SUM(B8:B9)</f>
        <v>466</v>
      </c>
      <c r="C10" s="4">
        <f t="shared" si="0"/>
        <v>791</v>
      </c>
      <c r="D10" s="32">
        <f t="shared" si="0"/>
        <v>1257</v>
      </c>
      <c r="E10" s="10">
        <f t="shared" si="0"/>
        <v>28080</v>
      </c>
      <c r="F10" s="10">
        <f t="shared" si="0"/>
        <v>15895</v>
      </c>
      <c r="G10" s="16">
        <f t="shared" si="0"/>
        <v>43975</v>
      </c>
      <c r="H10" s="10">
        <f t="shared" si="0"/>
        <v>15440</v>
      </c>
      <c r="I10" s="10">
        <f t="shared" si="0"/>
        <v>2616.52</v>
      </c>
      <c r="J10" s="10">
        <f t="shared" si="0"/>
        <v>451.7</v>
      </c>
      <c r="K10" s="12" t="s">
        <v>57</v>
      </c>
      <c r="L10" s="12">
        <v>2</v>
      </c>
      <c r="M10" s="22">
        <v>1257</v>
      </c>
      <c r="N10" s="12">
        <v>43975</v>
      </c>
      <c r="O10" s="12"/>
    </row>
    <row r="11" spans="1:17" x14ac:dyDescent="0.25">
      <c r="A11" s="12" t="s">
        <v>33</v>
      </c>
      <c r="B11" s="2">
        <v>348</v>
      </c>
      <c r="C11" s="2">
        <v>488</v>
      </c>
      <c r="D11" s="32">
        <v>836</v>
      </c>
      <c r="E11" s="5">
        <v>21890</v>
      </c>
      <c r="F11" s="5">
        <v>6655</v>
      </c>
      <c r="G11" s="9">
        <v>28545</v>
      </c>
      <c r="H11" s="5">
        <v>7980</v>
      </c>
      <c r="I11" s="5">
        <v>1698.43</v>
      </c>
      <c r="J11" s="5">
        <v>252</v>
      </c>
      <c r="L11" s="12"/>
      <c r="M11" s="22"/>
      <c r="N11" s="12"/>
      <c r="O11" s="12"/>
    </row>
    <row r="12" spans="1:17" x14ac:dyDescent="0.25">
      <c r="A12" s="12" t="s">
        <v>39</v>
      </c>
      <c r="B12" s="2">
        <v>202</v>
      </c>
      <c r="C12" s="2">
        <v>523</v>
      </c>
      <c r="D12" s="32">
        <v>725</v>
      </c>
      <c r="E12" s="5">
        <v>12910</v>
      </c>
      <c r="F12" s="5">
        <v>7850</v>
      </c>
      <c r="G12" s="9">
        <v>20760</v>
      </c>
      <c r="H12" s="5">
        <v>9715</v>
      </c>
      <c r="I12" s="5">
        <v>1235.22</v>
      </c>
      <c r="J12" s="5">
        <v>262</v>
      </c>
      <c r="L12" s="12"/>
      <c r="M12" s="22"/>
      <c r="N12" s="12"/>
      <c r="O12" s="12"/>
    </row>
    <row r="13" spans="1:17" x14ac:dyDescent="0.25">
      <c r="A13" s="12"/>
      <c r="B13" s="4">
        <f t="shared" ref="B13:J13" si="1">SUM(B11:B12)</f>
        <v>550</v>
      </c>
      <c r="C13" s="4">
        <f t="shared" si="1"/>
        <v>1011</v>
      </c>
      <c r="D13" s="32">
        <f t="shared" si="1"/>
        <v>1561</v>
      </c>
      <c r="E13" s="10">
        <f t="shared" si="1"/>
        <v>34800</v>
      </c>
      <c r="F13" s="10">
        <f t="shared" si="1"/>
        <v>14505</v>
      </c>
      <c r="G13" s="16">
        <f t="shared" si="1"/>
        <v>49305</v>
      </c>
      <c r="H13" s="10">
        <f t="shared" si="1"/>
        <v>17695</v>
      </c>
      <c r="I13" s="10">
        <f t="shared" si="1"/>
        <v>2933.65</v>
      </c>
      <c r="J13" s="10">
        <f t="shared" si="1"/>
        <v>514</v>
      </c>
      <c r="K13" s="12" t="s">
        <v>33</v>
      </c>
      <c r="L13" s="12">
        <v>2</v>
      </c>
      <c r="M13" s="22">
        <v>1561</v>
      </c>
      <c r="N13" s="12">
        <v>49305</v>
      </c>
      <c r="O13" s="12"/>
    </row>
    <row r="14" spans="1:17" x14ac:dyDescent="0.25">
      <c r="A14" s="12" t="s">
        <v>16</v>
      </c>
      <c r="B14" s="4">
        <v>298</v>
      </c>
      <c r="C14" s="4">
        <v>228</v>
      </c>
      <c r="D14" s="32">
        <v>526</v>
      </c>
      <c r="E14" s="10">
        <v>13352.5</v>
      </c>
      <c r="F14" s="10">
        <v>2455</v>
      </c>
      <c r="G14" s="9">
        <v>15807.5</v>
      </c>
      <c r="H14" s="10">
        <v>6672.5</v>
      </c>
      <c r="I14" s="10">
        <v>940.55</v>
      </c>
      <c r="J14" s="10">
        <v>169.5</v>
      </c>
      <c r="K14" s="12" t="s">
        <v>16</v>
      </c>
      <c r="L14" s="3">
        <v>1</v>
      </c>
      <c r="M14" s="3">
        <v>526</v>
      </c>
      <c r="N14" s="3">
        <v>15808</v>
      </c>
      <c r="O14" s="12"/>
    </row>
    <row r="15" spans="1:17" x14ac:dyDescent="0.25">
      <c r="A15" s="12"/>
      <c r="B15" s="3"/>
      <c r="C15" s="2"/>
      <c r="D15" s="32"/>
      <c r="E15" s="5"/>
      <c r="F15" s="5"/>
      <c r="G15" s="9"/>
      <c r="H15" s="5"/>
      <c r="I15" s="5"/>
      <c r="J15" s="5"/>
      <c r="L15" s="12"/>
      <c r="M15" s="12"/>
      <c r="N15" s="12"/>
      <c r="O15" s="12"/>
    </row>
    <row r="16" spans="1:17" x14ac:dyDescent="0.25">
      <c r="A16" s="12" t="s">
        <v>63</v>
      </c>
      <c r="B16" s="2">
        <v>191</v>
      </c>
      <c r="C16" s="2">
        <v>532</v>
      </c>
      <c r="D16" s="32">
        <v>723</v>
      </c>
      <c r="E16" s="5">
        <v>11420</v>
      </c>
      <c r="F16" s="5">
        <v>5075</v>
      </c>
      <c r="G16" s="9">
        <v>16495</v>
      </c>
      <c r="H16" s="5">
        <v>6040</v>
      </c>
      <c r="I16" s="5">
        <v>981.45</v>
      </c>
      <c r="J16" s="5">
        <v>272</v>
      </c>
      <c r="L16" s="12"/>
      <c r="M16" s="12"/>
      <c r="N16" s="12"/>
      <c r="O16" s="12"/>
    </row>
    <row r="17" spans="1:15" x14ac:dyDescent="0.25">
      <c r="A17" s="12" t="s">
        <v>60</v>
      </c>
      <c r="B17" s="2">
        <v>276</v>
      </c>
      <c r="C17" s="2">
        <v>256</v>
      </c>
      <c r="D17" s="32">
        <v>532</v>
      </c>
      <c r="E17" s="5">
        <v>16240</v>
      </c>
      <c r="F17" s="5">
        <v>6127.5</v>
      </c>
      <c r="G17" s="9">
        <v>22367.5</v>
      </c>
      <c r="H17" s="5">
        <v>5137.5</v>
      </c>
      <c r="I17" s="5">
        <v>1330.87</v>
      </c>
      <c r="J17" s="5">
        <v>129</v>
      </c>
      <c r="L17" s="12"/>
      <c r="M17" s="12"/>
      <c r="N17" s="12"/>
      <c r="O17" s="12"/>
    </row>
    <row r="18" spans="1:15" x14ac:dyDescent="0.25">
      <c r="A18" s="12" t="s">
        <v>27</v>
      </c>
      <c r="B18" s="2">
        <v>271</v>
      </c>
      <c r="C18" s="2">
        <v>332</v>
      </c>
      <c r="D18" s="32">
        <v>603</v>
      </c>
      <c r="E18" s="5">
        <v>16510</v>
      </c>
      <c r="F18" s="5">
        <v>6345</v>
      </c>
      <c r="G18" s="9">
        <v>22855</v>
      </c>
      <c r="H18" s="5">
        <v>3770</v>
      </c>
      <c r="I18" s="5">
        <v>1359.87</v>
      </c>
      <c r="J18" s="5">
        <v>170.5</v>
      </c>
      <c r="L18" s="12"/>
      <c r="M18" s="12"/>
      <c r="N18" s="12"/>
      <c r="O18" s="12"/>
    </row>
    <row r="19" spans="1:15" x14ac:dyDescent="0.25">
      <c r="A19" s="12"/>
      <c r="B19" s="4">
        <f t="shared" ref="B19:J19" si="2">SUM(B16:B18)</f>
        <v>738</v>
      </c>
      <c r="C19" s="4">
        <f t="shared" si="2"/>
        <v>1120</v>
      </c>
      <c r="D19" s="32">
        <f t="shared" si="2"/>
        <v>1858</v>
      </c>
      <c r="E19" s="10">
        <f t="shared" si="2"/>
        <v>44170</v>
      </c>
      <c r="F19" s="10">
        <f t="shared" si="2"/>
        <v>17547.5</v>
      </c>
      <c r="G19" s="16">
        <f t="shared" si="2"/>
        <v>61717.5</v>
      </c>
      <c r="H19" s="10">
        <f t="shared" si="2"/>
        <v>14947.5</v>
      </c>
      <c r="I19" s="10">
        <f t="shared" si="2"/>
        <v>3672.1899999999996</v>
      </c>
      <c r="J19" s="10">
        <f t="shared" si="2"/>
        <v>571.5</v>
      </c>
      <c r="K19" s="12" t="s">
        <v>63</v>
      </c>
      <c r="L19" s="12">
        <v>3</v>
      </c>
      <c r="M19" s="12">
        <v>1858</v>
      </c>
      <c r="N19" s="12">
        <v>61717</v>
      </c>
      <c r="O19" s="12"/>
    </row>
    <row r="20" spans="1:15" x14ac:dyDescent="0.25">
      <c r="A20" s="12" t="s">
        <v>41</v>
      </c>
      <c r="B20" s="2">
        <v>153</v>
      </c>
      <c r="C20" s="2">
        <v>242</v>
      </c>
      <c r="D20" s="32">
        <v>395</v>
      </c>
      <c r="E20" s="5">
        <v>9960</v>
      </c>
      <c r="F20" s="5">
        <v>4365</v>
      </c>
      <c r="G20" s="9">
        <v>14325</v>
      </c>
      <c r="H20" s="5">
        <v>5040</v>
      </c>
      <c r="I20" s="5">
        <v>852.34</v>
      </c>
      <c r="J20" s="5">
        <v>123</v>
      </c>
      <c r="L20" s="12"/>
      <c r="M20" s="12"/>
      <c r="N20" s="12"/>
      <c r="O20" s="12"/>
    </row>
    <row r="21" spans="1:15" x14ac:dyDescent="0.25">
      <c r="A21" s="12" t="s">
        <v>31</v>
      </c>
      <c r="B21" s="2">
        <v>335</v>
      </c>
      <c r="C21" s="2">
        <v>416</v>
      </c>
      <c r="D21" s="32">
        <v>751</v>
      </c>
      <c r="E21" s="5">
        <v>7300</v>
      </c>
      <c r="F21" s="5">
        <v>4330</v>
      </c>
      <c r="G21" s="9">
        <v>11630</v>
      </c>
      <c r="H21" s="5">
        <v>0</v>
      </c>
      <c r="I21" s="5">
        <v>691.99</v>
      </c>
      <c r="J21" s="5">
        <v>222</v>
      </c>
      <c r="L21" s="12"/>
      <c r="M21" s="12"/>
      <c r="N21" s="12"/>
      <c r="O21" s="12"/>
    </row>
    <row r="22" spans="1:15" x14ac:dyDescent="0.25">
      <c r="A22" s="12" t="s">
        <v>53</v>
      </c>
      <c r="B22" s="2">
        <v>330</v>
      </c>
      <c r="C22" s="2">
        <v>530</v>
      </c>
      <c r="D22" s="32">
        <v>860</v>
      </c>
      <c r="E22" s="5">
        <v>20255</v>
      </c>
      <c r="F22" s="5">
        <v>11090</v>
      </c>
      <c r="G22" s="9">
        <v>31345</v>
      </c>
      <c r="H22" s="5">
        <v>10695</v>
      </c>
      <c r="I22" s="5">
        <v>1865.03</v>
      </c>
      <c r="J22" s="5">
        <v>269</v>
      </c>
      <c r="L22" s="12"/>
      <c r="M22" s="12"/>
      <c r="N22" s="12"/>
      <c r="O22" s="12"/>
    </row>
    <row r="23" spans="1:15" x14ac:dyDescent="0.25">
      <c r="A23" s="12"/>
      <c r="B23" s="4">
        <f t="shared" ref="B23:J23" si="3">SUM(B20:B22)</f>
        <v>818</v>
      </c>
      <c r="C23" s="4">
        <f t="shared" si="3"/>
        <v>1188</v>
      </c>
      <c r="D23" s="36">
        <f t="shared" si="3"/>
        <v>2006</v>
      </c>
      <c r="E23" s="10">
        <f t="shared" si="3"/>
        <v>37515</v>
      </c>
      <c r="F23" s="10">
        <f t="shared" si="3"/>
        <v>19785</v>
      </c>
      <c r="G23" s="16">
        <f t="shared" si="3"/>
        <v>57300</v>
      </c>
      <c r="H23" s="10">
        <f t="shared" si="3"/>
        <v>15735</v>
      </c>
      <c r="I23" s="10">
        <f t="shared" si="3"/>
        <v>3409.3599999999997</v>
      </c>
      <c r="J23" s="10">
        <f t="shared" si="3"/>
        <v>614</v>
      </c>
      <c r="K23" s="12" t="s">
        <v>41</v>
      </c>
      <c r="L23" s="12">
        <v>3</v>
      </c>
      <c r="M23" s="12">
        <v>2006</v>
      </c>
      <c r="N23" s="12">
        <v>57300</v>
      </c>
      <c r="O23" s="12"/>
    </row>
    <row r="24" spans="1:15" x14ac:dyDescent="0.25">
      <c r="A24" s="12" t="s">
        <v>69</v>
      </c>
      <c r="B24" s="4">
        <v>343</v>
      </c>
      <c r="C24" s="4">
        <v>309</v>
      </c>
      <c r="D24" s="32">
        <v>652</v>
      </c>
      <c r="E24" s="10">
        <v>14810</v>
      </c>
      <c r="F24" s="10">
        <v>4542.5</v>
      </c>
      <c r="G24" s="9">
        <v>19352.5</v>
      </c>
      <c r="H24" s="10">
        <v>4892.5</v>
      </c>
      <c r="I24" s="10">
        <v>1381.77</v>
      </c>
      <c r="J24" s="10">
        <v>168.5</v>
      </c>
      <c r="K24" s="12" t="s">
        <v>69</v>
      </c>
      <c r="L24" s="3">
        <v>1</v>
      </c>
      <c r="M24" s="3">
        <v>652</v>
      </c>
      <c r="N24" s="3">
        <v>19352</v>
      </c>
      <c r="O24" s="12"/>
    </row>
    <row r="25" spans="1:15" x14ac:dyDescent="0.25">
      <c r="A25" s="12"/>
      <c r="B25" s="2"/>
      <c r="C25" s="2"/>
      <c r="D25" s="32"/>
      <c r="E25" s="5"/>
      <c r="F25" s="5"/>
      <c r="G25" s="9"/>
      <c r="H25" s="5"/>
      <c r="I25" s="5"/>
      <c r="J25" s="5"/>
      <c r="L25" s="12"/>
      <c r="M25" s="12"/>
      <c r="N25" s="12"/>
      <c r="O25" s="12"/>
    </row>
    <row r="26" spans="1:15" x14ac:dyDescent="0.25">
      <c r="A26" s="12" t="s">
        <v>13</v>
      </c>
      <c r="B26" s="2">
        <v>168</v>
      </c>
      <c r="C26" s="2">
        <v>163</v>
      </c>
      <c r="D26" s="32">
        <v>331</v>
      </c>
      <c r="E26" s="5">
        <v>9240</v>
      </c>
      <c r="F26" s="5">
        <v>1917.5</v>
      </c>
      <c r="G26" s="9">
        <v>11157.5</v>
      </c>
      <c r="H26" s="5">
        <v>2427.5</v>
      </c>
      <c r="I26" s="5">
        <v>663.87</v>
      </c>
      <c r="J26" s="5">
        <v>95.5</v>
      </c>
      <c r="L26" s="12"/>
      <c r="M26" s="12"/>
      <c r="N26" s="12"/>
      <c r="O26" s="12"/>
    </row>
    <row r="27" spans="1:15" x14ac:dyDescent="0.25">
      <c r="A27" s="12" t="s">
        <v>37</v>
      </c>
      <c r="B27" s="2">
        <v>179</v>
      </c>
      <c r="C27" s="2">
        <v>599</v>
      </c>
      <c r="D27" s="32">
        <v>778</v>
      </c>
      <c r="E27" s="5">
        <v>11110</v>
      </c>
      <c r="F27" s="5">
        <v>7520</v>
      </c>
      <c r="G27" s="9">
        <v>18630</v>
      </c>
      <c r="H27" s="5">
        <v>6265</v>
      </c>
      <c r="I27" s="5">
        <v>1108.49</v>
      </c>
      <c r="J27" s="5">
        <v>301.5</v>
      </c>
      <c r="L27" s="12"/>
      <c r="M27" s="12"/>
      <c r="N27" s="12"/>
      <c r="O27" s="12"/>
    </row>
    <row r="28" spans="1:15" x14ac:dyDescent="0.25">
      <c r="A28" s="12" t="s">
        <v>47</v>
      </c>
      <c r="B28" s="2">
        <v>367</v>
      </c>
      <c r="C28" s="2">
        <v>407</v>
      </c>
      <c r="D28" s="32">
        <v>774</v>
      </c>
      <c r="E28" s="5">
        <v>20675</v>
      </c>
      <c r="F28" s="5">
        <v>12105</v>
      </c>
      <c r="G28" s="9">
        <v>32780</v>
      </c>
      <c r="H28" s="5">
        <v>1220</v>
      </c>
      <c r="I28" s="5">
        <v>1950.41</v>
      </c>
      <c r="J28" s="5">
        <v>205.5</v>
      </c>
      <c r="L28" s="12"/>
      <c r="M28" s="12"/>
      <c r="N28" s="12"/>
      <c r="O28" s="12"/>
    </row>
    <row r="29" spans="1:15" x14ac:dyDescent="0.25">
      <c r="A29" s="12"/>
      <c r="B29" s="4">
        <f t="shared" ref="B29:J29" si="4">SUM(B26:B28)</f>
        <v>714</v>
      </c>
      <c r="C29" s="4">
        <f t="shared" si="4"/>
        <v>1169</v>
      </c>
      <c r="D29" s="36">
        <f t="shared" si="4"/>
        <v>1883</v>
      </c>
      <c r="E29" s="10">
        <f t="shared" si="4"/>
        <v>41025</v>
      </c>
      <c r="F29" s="10">
        <f t="shared" si="4"/>
        <v>21542.5</v>
      </c>
      <c r="G29" s="16">
        <f t="shared" si="4"/>
        <v>62567.5</v>
      </c>
      <c r="H29" s="10">
        <f t="shared" si="4"/>
        <v>9912.5</v>
      </c>
      <c r="I29" s="10">
        <f t="shared" si="4"/>
        <v>3722.7700000000004</v>
      </c>
      <c r="J29" s="10">
        <f t="shared" si="4"/>
        <v>602.5</v>
      </c>
      <c r="K29" s="12" t="s">
        <v>13</v>
      </c>
      <c r="L29" s="12">
        <v>3</v>
      </c>
      <c r="M29" s="12">
        <v>1883</v>
      </c>
      <c r="N29" s="12">
        <v>62568</v>
      </c>
      <c r="O29" s="12"/>
    </row>
    <row r="30" spans="1:15" x14ac:dyDescent="0.25">
      <c r="A30" s="12" t="s">
        <v>34</v>
      </c>
      <c r="B30" s="2">
        <v>237</v>
      </c>
      <c r="C30" s="2">
        <v>433</v>
      </c>
      <c r="D30" s="32">
        <v>670</v>
      </c>
      <c r="E30" s="5">
        <v>15605</v>
      </c>
      <c r="F30" s="5">
        <v>5930</v>
      </c>
      <c r="G30" s="9">
        <v>21535</v>
      </c>
      <c r="H30" s="5">
        <v>5970</v>
      </c>
      <c r="I30" s="5">
        <v>1281.33</v>
      </c>
      <c r="J30" s="5">
        <v>222</v>
      </c>
      <c r="L30" s="12"/>
      <c r="M30" s="12"/>
      <c r="N30" s="12"/>
      <c r="O30" s="12"/>
    </row>
    <row r="31" spans="1:15" x14ac:dyDescent="0.25">
      <c r="A31" s="12" t="s">
        <v>68</v>
      </c>
      <c r="B31" s="2">
        <v>289</v>
      </c>
      <c r="C31" s="2">
        <v>388</v>
      </c>
      <c r="D31" s="32">
        <v>677</v>
      </c>
      <c r="E31" s="5">
        <v>12560</v>
      </c>
      <c r="F31" s="5">
        <v>7067.5</v>
      </c>
      <c r="G31" s="9">
        <v>19627.5</v>
      </c>
      <c r="H31" s="5">
        <v>6002.5</v>
      </c>
      <c r="I31" s="5">
        <v>1401.4</v>
      </c>
      <c r="J31" s="5">
        <v>206</v>
      </c>
      <c r="L31" s="12"/>
      <c r="M31" s="12"/>
      <c r="N31" s="12"/>
      <c r="O31" s="12"/>
    </row>
    <row r="32" spans="1:15" x14ac:dyDescent="0.25">
      <c r="A32" s="12" t="s">
        <v>58</v>
      </c>
      <c r="B32" s="2">
        <v>163</v>
      </c>
      <c r="C32" s="2">
        <v>325</v>
      </c>
      <c r="D32" s="32">
        <v>488</v>
      </c>
      <c r="E32" s="5">
        <v>9785</v>
      </c>
      <c r="F32" s="5">
        <v>7672.5</v>
      </c>
      <c r="G32" s="9">
        <v>17457.5</v>
      </c>
      <c r="H32" s="5">
        <v>7042.5</v>
      </c>
      <c r="I32" s="5">
        <v>1038.72</v>
      </c>
      <c r="J32" s="5">
        <v>164</v>
      </c>
      <c r="L32" s="12"/>
      <c r="M32" s="12"/>
      <c r="N32" s="12"/>
      <c r="O32" s="12"/>
    </row>
    <row r="33" spans="1:15" x14ac:dyDescent="0.25">
      <c r="A33" s="12"/>
      <c r="B33" s="4">
        <f t="shared" ref="B33:J33" si="5">SUM(B30:B32)</f>
        <v>689</v>
      </c>
      <c r="C33" s="4">
        <f t="shared" si="5"/>
        <v>1146</v>
      </c>
      <c r="D33" s="36">
        <f t="shared" si="5"/>
        <v>1835</v>
      </c>
      <c r="E33" s="10">
        <f t="shared" si="5"/>
        <v>37950</v>
      </c>
      <c r="F33" s="10">
        <f t="shared" si="5"/>
        <v>20670</v>
      </c>
      <c r="G33" s="16">
        <f t="shared" si="5"/>
        <v>58620</v>
      </c>
      <c r="H33" s="10">
        <f t="shared" si="5"/>
        <v>19015</v>
      </c>
      <c r="I33" s="10">
        <f t="shared" si="5"/>
        <v>3721.45</v>
      </c>
      <c r="J33" s="10">
        <f t="shared" si="5"/>
        <v>592</v>
      </c>
      <c r="K33" s="12" t="s">
        <v>34</v>
      </c>
      <c r="L33" s="12">
        <v>3</v>
      </c>
      <c r="M33" s="12">
        <v>1835</v>
      </c>
      <c r="N33" s="12">
        <v>58620</v>
      </c>
      <c r="O33" s="12"/>
    </row>
    <row r="34" spans="1:15" x14ac:dyDescent="0.25">
      <c r="A34" s="12" t="s">
        <v>59</v>
      </c>
      <c r="B34" s="4">
        <v>194</v>
      </c>
      <c r="C34" s="4">
        <v>513</v>
      </c>
      <c r="D34" s="32">
        <v>707</v>
      </c>
      <c r="E34" s="10">
        <v>11665</v>
      </c>
      <c r="F34" s="10">
        <v>10597.5</v>
      </c>
      <c r="G34" s="9">
        <v>22262.5</v>
      </c>
      <c r="H34" s="10">
        <v>9567.5</v>
      </c>
      <c r="I34" s="10">
        <v>1324.62</v>
      </c>
      <c r="J34" s="10">
        <v>257</v>
      </c>
      <c r="K34" s="12" t="s">
        <v>59</v>
      </c>
      <c r="L34" s="3">
        <v>1</v>
      </c>
      <c r="M34" s="3">
        <v>707</v>
      </c>
      <c r="N34" s="3">
        <v>22263</v>
      </c>
      <c r="O34" s="12"/>
    </row>
    <row r="35" spans="1:15" x14ac:dyDescent="0.25">
      <c r="A35" s="12"/>
      <c r="B35" s="2"/>
      <c r="C35" s="2"/>
      <c r="D35" s="32"/>
      <c r="E35" s="5"/>
      <c r="F35" s="5"/>
      <c r="G35" s="9"/>
      <c r="H35" s="5"/>
      <c r="I35" s="5"/>
      <c r="J35" s="5"/>
      <c r="L35" s="12"/>
      <c r="M35" s="12"/>
      <c r="N35" s="12"/>
      <c r="O35" s="12"/>
    </row>
    <row r="36" spans="1:15" x14ac:dyDescent="0.25">
      <c r="A36" s="12" t="s">
        <v>23</v>
      </c>
      <c r="B36" s="4">
        <v>410</v>
      </c>
      <c r="C36" s="4">
        <v>296</v>
      </c>
      <c r="D36" s="32">
        <v>706</v>
      </c>
      <c r="E36" s="10">
        <v>25370</v>
      </c>
      <c r="F36" s="10">
        <v>4460</v>
      </c>
      <c r="G36" s="9">
        <v>29830</v>
      </c>
      <c r="H36" s="10">
        <v>2210</v>
      </c>
      <c r="I36" s="10">
        <v>1774.89</v>
      </c>
      <c r="J36" s="10">
        <v>295.8</v>
      </c>
      <c r="K36" s="12" t="s">
        <v>23</v>
      </c>
      <c r="L36" s="2">
        <v>1</v>
      </c>
      <c r="M36" s="12">
        <v>706</v>
      </c>
      <c r="N36" s="12">
        <v>29380</v>
      </c>
      <c r="O36" s="12"/>
    </row>
    <row r="37" spans="1:15" x14ac:dyDescent="0.25">
      <c r="A37" s="12"/>
      <c r="B37" s="2"/>
      <c r="C37" s="2"/>
      <c r="D37" s="32"/>
      <c r="E37" s="5"/>
      <c r="F37" s="5"/>
      <c r="G37" s="9"/>
      <c r="H37" s="5"/>
      <c r="I37" s="5"/>
      <c r="J37" s="5"/>
      <c r="L37" s="12"/>
      <c r="M37" s="12"/>
      <c r="N37" s="12"/>
      <c r="O37" s="12"/>
    </row>
    <row r="38" spans="1:15" x14ac:dyDescent="0.25">
      <c r="A38" s="12" t="s">
        <v>50</v>
      </c>
      <c r="B38" s="2">
        <v>225</v>
      </c>
      <c r="C38" s="2">
        <v>339</v>
      </c>
      <c r="D38" s="32">
        <v>564</v>
      </c>
      <c r="E38" s="5">
        <v>13455</v>
      </c>
      <c r="F38" s="5">
        <v>6217.5</v>
      </c>
      <c r="G38" s="9">
        <v>19672.5</v>
      </c>
      <c r="H38" s="5">
        <v>6712.5</v>
      </c>
      <c r="I38" s="5">
        <v>1170.51</v>
      </c>
      <c r="J38" s="5">
        <v>172.5</v>
      </c>
      <c r="L38" s="12"/>
      <c r="M38" s="12"/>
      <c r="N38" s="12"/>
      <c r="O38" s="12"/>
    </row>
    <row r="39" spans="1:15" x14ac:dyDescent="0.25">
      <c r="A39" s="12" t="s">
        <v>25</v>
      </c>
      <c r="B39" s="2">
        <v>260</v>
      </c>
      <c r="C39" s="2">
        <v>430</v>
      </c>
      <c r="D39" s="32">
        <v>690</v>
      </c>
      <c r="E39" s="5">
        <v>16295</v>
      </c>
      <c r="F39" s="5">
        <v>6900</v>
      </c>
      <c r="G39" s="9">
        <v>23195</v>
      </c>
      <c r="H39" s="5">
        <v>9635</v>
      </c>
      <c r="I39" s="5">
        <v>1380.11</v>
      </c>
      <c r="J39" s="5">
        <v>218</v>
      </c>
      <c r="L39" s="12"/>
      <c r="M39" s="12"/>
      <c r="N39" s="12"/>
      <c r="O39" s="12"/>
    </row>
    <row r="40" spans="1:15" x14ac:dyDescent="0.25">
      <c r="A40" s="12"/>
      <c r="B40" s="4">
        <f t="shared" ref="B40:J40" si="6">SUM(B38:B39)</f>
        <v>485</v>
      </c>
      <c r="C40" s="4">
        <f t="shared" si="6"/>
        <v>769</v>
      </c>
      <c r="D40" s="36">
        <f t="shared" si="6"/>
        <v>1254</v>
      </c>
      <c r="E40" s="10">
        <f t="shared" si="6"/>
        <v>29750</v>
      </c>
      <c r="F40" s="10">
        <f t="shared" si="6"/>
        <v>13117.5</v>
      </c>
      <c r="G40" s="16">
        <f t="shared" si="6"/>
        <v>42867.5</v>
      </c>
      <c r="H40" s="10">
        <f t="shared" si="6"/>
        <v>16347.5</v>
      </c>
      <c r="I40" s="10">
        <f t="shared" si="6"/>
        <v>2550.62</v>
      </c>
      <c r="J40" s="10">
        <f t="shared" si="6"/>
        <v>390.5</v>
      </c>
      <c r="K40" s="12" t="s">
        <v>25</v>
      </c>
      <c r="L40" s="12">
        <v>2</v>
      </c>
      <c r="M40" s="12">
        <v>1254</v>
      </c>
      <c r="N40" s="12">
        <v>42868</v>
      </c>
      <c r="O40" s="12"/>
    </row>
    <row r="41" spans="1:15" x14ac:dyDescent="0.25">
      <c r="A41" s="12" t="s">
        <v>46</v>
      </c>
      <c r="B41" s="4">
        <v>218</v>
      </c>
      <c r="C41" s="4">
        <v>387</v>
      </c>
      <c r="D41" s="32">
        <v>605</v>
      </c>
      <c r="E41" s="10">
        <v>12905</v>
      </c>
      <c r="F41" s="10">
        <v>6982.5</v>
      </c>
      <c r="G41" s="9">
        <v>19887.5</v>
      </c>
      <c r="H41" s="10">
        <v>6772.5</v>
      </c>
      <c r="I41" s="10">
        <v>1183.31</v>
      </c>
      <c r="J41" s="10">
        <v>197.5</v>
      </c>
      <c r="K41" s="12" t="s">
        <v>46</v>
      </c>
      <c r="L41" s="2">
        <v>1</v>
      </c>
      <c r="M41" s="12">
        <v>605</v>
      </c>
      <c r="N41" s="12">
        <v>19888</v>
      </c>
      <c r="O41" s="12"/>
    </row>
    <row r="42" spans="1:15" x14ac:dyDescent="0.25">
      <c r="A42" s="12" t="s">
        <v>49</v>
      </c>
      <c r="B42" s="4">
        <v>113</v>
      </c>
      <c r="C42" s="4">
        <v>617</v>
      </c>
      <c r="D42" s="32">
        <v>730</v>
      </c>
      <c r="E42" s="10">
        <v>5890</v>
      </c>
      <c r="F42" s="10">
        <v>3387.5</v>
      </c>
      <c r="G42" s="9">
        <v>9277.5</v>
      </c>
      <c r="H42" s="10">
        <v>4702.5</v>
      </c>
      <c r="I42" s="10">
        <v>552.01</v>
      </c>
      <c r="J42" s="10">
        <v>309.5</v>
      </c>
      <c r="K42" s="12" t="s">
        <v>49</v>
      </c>
      <c r="L42" s="3">
        <v>1</v>
      </c>
      <c r="M42" s="3">
        <v>730</v>
      </c>
      <c r="N42" s="3">
        <v>9278</v>
      </c>
      <c r="O42" s="12"/>
    </row>
    <row r="43" spans="1:15" x14ac:dyDescent="0.25">
      <c r="A43" s="12"/>
      <c r="B43" s="2"/>
      <c r="C43" s="2"/>
      <c r="D43" s="32"/>
      <c r="E43" s="5"/>
      <c r="F43" s="5"/>
      <c r="G43" s="9"/>
      <c r="H43" s="5"/>
      <c r="I43" s="5"/>
      <c r="J43" s="5"/>
      <c r="L43" s="12"/>
      <c r="M43" s="12"/>
      <c r="N43" s="12"/>
      <c r="O43" s="12"/>
    </row>
    <row r="44" spans="1:15" x14ac:dyDescent="0.25">
      <c r="A44" s="12" t="s">
        <v>61</v>
      </c>
      <c r="B44" s="4">
        <v>90</v>
      </c>
      <c r="C44" s="4">
        <v>359</v>
      </c>
      <c r="D44" s="32">
        <v>449</v>
      </c>
      <c r="E44" s="10">
        <v>5200</v>
      </c>
      <c r="F44" s="10">
        <v>6885</v>
      </c>
      <c r="G44" s="9">
        <v>12085</v>
      </c>
      <c r="H44" s="10">
        <v>7020</v>
      </c>
      <c r="I44" s="10">
        <v>719.06</v>
      </c>
      <c r="J44" s="10">
        <v>183</v>
      </c>
      <c r="K44" s="12" t="s">
        <v>61</v>
      </c>
      <c r="L44" s="2">
        <v>1</v>
      </c>
      <c r="M44" s="12">
        <v>499</v>
      </c>
      <c r="N44" s="12">
        <v>12085</v>
      </c>
      <c r="O44" s="12"/>
    </row>
    <row r="45" spans="1:15" x14ac:dyDescent="0.25">
      <c r="A45" s="12"/>
      <c r="B45" s="2"/>
      <c r="C45" s="2"/>
      <c r="D45" s="32"/>
      <c r="E45" s="5"/>
      <c r="F45" s="5"/>
      <c r="G45" s="9"/>
      <c r="H45" s="5"/>
      <c r="I45" s="5"/>
      <c r="J45" s="5"/>
      <c r="L45" s="12"/>
      <c r="M45" s="12"/>
      <c r="N45" s="12"/>
      <c r="O45" s="12"/>
    </row>
    <row r="46" spans="1:15" x14ac:dyDescent="0.25">
      <c r="A46" s="12" t="s">
        <v>8</v>
      </c>
      <c r="B46" s="4">
        <v>366</v>
      </c>
      <c r="C46" s="4">
        <v>346</v>
      </c>
      <c r="D46" s="32">
        <v>712</v>
      </c>
      <c r="E46" s="10">
        <v>21195</v>
      </c>
      <c r="F46" s="10">
        <v>8010</v>
      </c>
      <c r="G46" s="9">
        <v>29205</v>
      </c>
      <c r="H46" s="10">
        <v>7615</v>
      </c>
      <c r="I46" s="10">
        <v>1737.7</v>
      </c>
      <c r="J46" s="10">
        <v>187</v>
      </c>
      <c r="K46" s="12" t="s">
        <v>8</v>
      </c>
      <c r="L46" s="2">
        <v>1</v>
      </c>
      <c r="M46" s="12">
        <v>712</v>
      </c>
      <c r="N46" s="12">
        <v>29205</v>
      </c>
      <c r="O46" s="12"/>
    </row>
    <row r="47" spans="1:15" x14ac:dyDescent="0.25">
      <c r="A47" s="12"/>
      <c r="B47" s="2"/>
      <c r="C47" s="2"/>
      <c r="D47" s="32"/>
      <c r="E47" s="5"/>
      <c r="F47" s="5"/>
      <c r="G47" s="9"/>
      <c r="H47" s="5"/>
      <c r="I47" s="5"/>
      <c r="J47" s="5"/>
      <c r="L47" s="12"/>
      <c r="M47" s="12"/>
      <c r="N47" s="12"/>
      <c r="O47" s="12"/>
    </row>
    <row r="48" spans="1:15" x14ac:dyDescent="0.25">
      <c r="A48" s="12" t="s">
        <v>24</v>
      </c>
      <c r="B48" s="2">
        <v>325</v>
      </c>
      <c r="C48" s="2">
        <v>579</v>
      </c>
      <c r="D48" s="32">
        <v>904</v>
      </c>
      <c r="E48" s="5">
        <v>19750</v>
      </c>
      <c r="F48" s="5">
        <v>8092.5</v>
      </c>
      <c r="G48" s="9">
        <v>27842.5</v>
      </c>
      <c r="H48" s="5">
        <v>12487.5</v>
      </c>
      <c r="I48" s="5">
        <v>1656.63</v>
      </c>
      <c r="J48" s="5">
        <v>294.5</v>
      </c>
      <c r="L48" s="12"/>
      <c r="M48" s="12"/>
      <c r="N48" s="12"/>
      <c r="O48" s="12"/>
    </row>
    <row r="49" spans="1:15" x14ac:dyDescent="0.25">
      <c r="A49" s="12" t="s">
        <v>35</v>
      </c>
      <c r="B49" s="2">
        <v>582</v>
      </c>
      <c r="C49" s="2">
        <v>317</v>
      </c>
      <c r="D49" s="32">
        <v>899</v>
      </c>
      <c r="E49" s="5">
        <v>31395</v>
      </c>
      <c r="F49" s="5">
        <v>8357.5</v>
      </c>
      <c r="G49" s="9">
        <v>39752.5</v>
      </c>
      <c r="H49" s="5">
        <v>362.5</v>
      </c>
      <c r="I49" s="5">
        <v>2365.27</v>
      </c>
      <c r="J49" s="5">
        <v>169.5</v>
      </c>
      <c r="L49" s="12"/>
      <c r="M49" s="12"/>
      <c r="N49" s="12"/>
      <c r="O49" s="12"/>
    </row>
    <row r="50" spans="1:15" x14ac:dyDescent="0.25">
      <c r="A50" s="12"/>
      <c r="B50" s="4">
        <f t="shared" ref="B50:J50" si="7">SUM(B48:B49)</f>
        <v>907</v>
      </c>
      <c r="C50" s="4">
        <f t="shared" si="7"/>
        <v>896</v>
      </c>
      <c r="D50" s="36">
        <f t="shared" si="7"/>
        <v>1803</v>
      </c>
      <c r="E50" s="10">
        <f t="shared" si="7"/>
        <v>51145</v>
      </c>
      <c r="F50" s="10">
        <f t="shared" si="7"/>
        <v>16450</v>
      </c>
      <c r="G50" s="16">
        <f t="shared" si="7"/>
        <v>67595</v>
      </c>
      <c r="H50" s="10">
        <f t="shared" si="7"/>
        <v>12850</v>
      </c>
      <c r="I50" s="10">
        <f t="shared" si="7"/>
        <v>4021.9</v>
      </c>
      <c r="J50" s="10">
        <f t="shared" si="7"/>
        <v>464</v>
      </c>
      <c r="K50" s="12" t="s">
        <v>24</v>
      </c>
      <c r="L50" s="12">
        <v>2</v>
      </c>
      <c r="M50" s="12">
        <v>1803</v>
      </c>
      <c r="N50" s="12">
        <v>67595</v>
      </c>
      <c r="O50" s="12"/>
    </row>
    <row r="51" spans="1:15" x14ac:dyDescent="0.25">
      <c r="A51" s="12" t="s">
        <v>36</v>
      </c>
      <c r="B51" s="4">
        <v>211</v>
      </c>
      <c r="C51" s="4">
        <v>532</v>
      </c>
      <c r="D51" s="32">
        <v>743</v>
      </c>
      <c r="E51" s="10">
        <v>13440</v>
      </c>
      <c r="F51" s="10">
        <v>7515</v>
      </c>
      <c r="G51" s="9">
        <v>20955</v>
      </c>
      <c r="H51" s="10">
        <v>9035</v>
      </c>
      <c r="I51" s="10">
        <v>1246.82</v>
      </c>
      <c r="J51" s="10">
        <v>268.5</v>
      </c>
      <c r="K51" s="12" t="s">
        <v>36</v>
      </c>
      <c r="L51" s="2">
        <v>1</v>
      </c>
      <c r="M51" s="12">
        <v>743</v>
      </c>
      <c r="N51" s="12">
        <v>20955</v>
      </c>
      <c r="O51" s="12"/>
    </row>
    <row r="52" spans="1:15" x14ac:dyDescent="0.25">
      <c r="A52" s="12"/>
      <c r="B52" s="2"/>
      <c r="C52" s="2"/>
      <c r="D52" s="32"/>
      <c r="E52" s="5"/>
      <c r="F52" s="5"/>
      <c r="G52" s="9"/>
      <c r="H52" s="5"/>
      <c r="I52" s="5"/>
      <c r="J52" s="5"/>
      <c r="L52" s="12"/>
      <c r="M52" s="12"/>
      <c r="N52" s="12"/>
      <c r="O52" s="12"/>
    </row>
    <row r="53" spans="1:15" x14ac:dyDescent="0.25">
      <c r="A53" s="12" t="s">
        <v>56</v>
      </c>
      <c r="B53" s="2">
        <v>382</v>
      </c>
      <c r="C53" s="2">
        <v>534</v>
      </c>
      <c r="D53" s="32">
        <v>916</v>
      </c>
      <c r="E53" s="5">
        <v>22845</v>
      </c>
      <c r="F53" s="5">
        <v>12255</v>
      </c>
      <c r="G53" s="9">
        <v>35100</v>
      </c>
      <c r="H53" s="5">
        <v>11165</v>
      </c>
      <c r="I53" s="5">
        <v>2088.4499999999998</v>
      </c>
      <c r="J53" s="5">
        <v>275</v>
      </c>
      <c r="L53" s="12"/>
      <c r="M53" s="12"/>
      <c r="N53" s="12"/>
      <c r="O53" s="12"/>
    </row>
    <row r="54" spans="1:15" x14ac:dyDescent="0.25">
      <c r="A54" s="12" t="s">
        <v>55</v>
      </c>
      <c r="B54" s="2">
        <v>346</v>
      </c>
      <c r="C54" s="2">
        <v>574</v>
      </c>
      <c r="D54" s="32">
        <v>920</v>
      </c>
      <c r="E54" s="5">
        <v>20345</v>
      </c>
      <c r="F54" s="5">
        <v>12690</v>
      </c>
      <c r="G54" s="9">
        <v>33035</v>
      </c>
      <c r="H54" s="5">
        <v>12190</v>
      </c>
      <c r="I54" s="5">
        <v>1965.59</v>
      </c>
      <c r="J54" s="5">
        <v>289.5</v>
      </c>
      <c r="L54" s="12"/>
      <c r="M54" s="12"/>
      <c r="N54" s="12"/>
      <c r="O54" s="12"/>
    </row>
    <row r="55" spans="1:15" x14ac:dyDescent="0.25">
      <c r="A55" s="12" t="s">
        <v>38</v>
      </c>
      <c r="B55" s="2">
        <v>219</v>
      </c>
      <c r="C55" s="2">
        <v>586</v>
      </c>
      <c r="D55" s="32">
        <v>805</v>
      </c>
      <c r="E55" s="5">
        <v>13100</v>
      </c>
      <c r="F55" s="5">
        <v>11580</v>
      </c>
      <c r="G55" s="9">
        <v>24680</v>
      </c>
      <c r="H55" s="5">
        <v>13355</v>
      </c>
      <c r="I55" s="5">
        <v>1468.46</v>
      </c>
      <c r="J55" s="5">
        <v>294</v>
      </c>
      <c r="L55" s="12"/>
      <c r="M55" s="12"/>
      <c r="N55" s="12"/>
      <c r="O55" s="12"/>
    </row>
    <row r="56" spans="1:15" x14ac:dyDescent="0.25">
      <c r="A56" s="12"/>
      <c r="B56" s="4">
        <f t="shared" ref="B56:J56" si="8">SUM(B53:B55)</f>
        <v>947</v>
      </c>
      <c r="C56" s="4">
        <f t="shared" si="8"/>
        <v>1694</v>
      </c>
      <c r="D56" s="36">
        <f t="shared" si="8"/>
        <v>2641</v>
      </c>
      <c r="E56" s="10">
        <f t="shared" si="8"/>
        <v>56290</v>
      </c>
      <c r="F56" s="10">
        <f t="shared" si="8"/>
        <v>36525</v>
      </c>
      <c r="G56" s="16">
        <f t="shared" si="8"/>
        <v>92815</v>
      </c>
      <c r="H56" s="10">
        <f t="shared" si="8"/>
        <v>36710</v>
      </c>
      <c r="I56" s="10">
        <f t="shared" si="8"/>
        <v>5522.5</v>
      </c>
      <c r="J56" s="10">
        <f t="shared" si="8"/>
        <v>858.5</v>
      </c>
      <c r="K56" s="12" t="s">
        <v>56</v>
      </c>
      <c r="L56" s="12">
        <v>3</v>
      </c>
      <c r="M56" s="12">
        <v>2641</v>
      </c>
      <c r="N56" s="12">
        <v>92815</v>
      </c>
      <c r="O56" s="12"/>
    </row>
    <row r="57" spans="1:15" x14ac:dyDescent="0.25">
      <c r="A57" s="12" t="s">
        <v>62</v>
      </c>
      <c r="B57" s="4">
        <v>301</v>
      </c>
      <c r="C57" s="4">
        <v>610</v>
      </c>
      <c r="D57" s="32">
        <v>911</v>
      </c>
      <c r="E57" s="10">
        <v>17835</v>
      </c>
      <c r="F57" s="10">
        <v>10742.5</v>
      </c>
      <c r="G57" s="9">
        <v>28577.5</v>
      </c>
      <c r="H57" s="10">
        <v>5602.5</v>
      </c>
      <c r="I57" s="10">
        <v>1700.36</v>
      </c>
      <c r="J57" s="10">
        <v>318</v>
      </c>
      <c r="K57" s="12" t="s">
        <v>62</v>
      </c>
      <c r="L57" s="2">
        <v>1</v>
      </c>
      <c r="M57" s="12">
        <v>911</v>
      </c>
      <c r="N57" s="12">
        <v>28578</v>
      </c>
      <c r="O57" s="12"/>
    </row>
    <row r="58" spans="1:15" x14ac:dyDescent="0.25">
      <c r="A58" s="12"/>
      <c r="B58" s="2"/>
      <c r="C58" s="2"/>
      <c r="D58" s="32"/>
      <c r="E58" s="5"/>
      <c r="F58" s="5"/>
      <c r="G58" s="9"/>
      <c r="H58" s="5"/>
      <c r="I58" s="5"/>
      <c r="J58" s="5"/>
      <c r="L58" s="12"/>
      <c r="M58" s="12"/>
      <c r="N58" s="12"/>
      <c r="O58" s="12"/>
    </row>
    <row r="59" spans="1:15" x14ac:dyDescent="0.25">
      <c r="A59" s="12" t="s">
        <v>28</v>
      </c>
      <c r="B59" s="4">
        <v>267</v>
      </c>
      <c r="C59" s="4">
        <v>551</v>
      </c>
      <c r="D59" s="32">
        <v>818</v>
      </c>
      <c r="E59" s="10">
        <v>16920</v>
      </c>
      <c r="F59" s="10">
        <v>9315</v>
      </c>
      <c r="G59" s="9">
        <v>26235</v>
      </c>
      <c r="H59" s="10">
        <v>12510</v>
      </c>
      <c r="I59" s="10">
        <v>1560.99</v>
      </c>
      <c r="J59" s="10">
        <v>275.5</v>
      </c>
      <c r="K59" s="12" t="s">
        <v>28</v>
      </c>
      <c r="L59" s="2">
        <v>1</v>
      </c>
      <c r="M59" s="12">
        <v>818</v>
      </c>
      <c r="N59" s="12">
        <v>26235</v>
      </c>
      <c r="O59" s="12"/>
    </row>
    <row r="60" spans="1:15" x14ac:dyDescent="0.25">
      <c r="A60" s="12"/>
      <c r="B60" s="2"/>
      <c r="C60" s="2"/>
      <c r="D60" s="32"/>
      <c r="E60" s="5"/>
      <c r="F60" s="5"/>
      <c r="G60" s="9"/>
      <c r="H60" s="5"/>
      <c r="I60" s="5"/>
      <c r="J60" s="5"/>
      <c r="L60" s="12"/>
      <c r="M60" s="12"/>
      <c r="N60" s="12"/>
      <c r="O60" s="12"/>
    </row>
    <row r="61" spans="1:15" x14ac:dyDescent="0.25">
      <c r="A61" s="12" t="s">
        <v>54</v>
      </c>
      <c r="B61" s="4">
        <v>190</v>
      </c>
      <c r="C61" s="4">
        <v>629</v>
      </c>
      <c r="D61" s="32">
        <v>819</v>
      </c>
      <c r="E61" s="10">
        <v>11265</v>
      </c>
      <c r="F61" s="10">
        <v>7060</v>
      </c>
      <c r="G61" s="9">
        <v>18325</v>
      </c>
      <c r="H61" s="10">
        <v>9310</v>
      </c>
      <c r="I61" s="10">
        <v>1090.3399999999999</v>
      </c>
      <c r="J61" s="10">
        <v>315</v>
      </c>
      <c r="K61" s="12" t="s">
        <v>54</v>
      </c>
      <c r="L61" s="2">
        <v>1</v>
      </c>
      <c r="M61" s="12">
        <v>819</v>
      </c>
      <c r="N61" s="12">
        <v>18325</v>
      </c>
      <c r="O61" s="12"/>
    </row>
    <row r="62" spans="1:15" x14ac:dyDescent="0.25">
      <c r="A62" s="12"/>
      <c r="B62" s="2"/>
      <c r="C62" s="2"/>
      <c r="D62" s="32"/>
      <c r="E62" s="5"/>
      <c r="F62" s="5"/>
      <c r="G62" s="9"/>
      <c r="H62" s="5"/>
      <c r="I62" s="5"/>
      <c r="J62" s="5"/>
      <c r="L62" s="12"/>
      <c r="M62" s="12"/>
      <c r="N62" s="12"/>
      <c r="O62" s="12"/>
    </row>
    <row r="63" spans="1:15" x14ac:dyDescent="0.25">
      <c r="A63" s="12" t="s">
        <v>29</v>
      </c>
      <c r="B63" s="4">
        <v>215</v>
      </c>
      <c r="C63" s="4">
        <v>431</v>
      </c>
      <c r="D63" s="32">
        <v>646</v>
      </c>
      <c r="E63" s="10">
        <v>13975</v>
      </c>
      <c r="F63" s="10">
        <v>5522.5</v>
      </c>
      <c r="G63" s="9">
        <v>19497.5</v>
      </c>
      <c r="H63" s="10">
        <v>4892.5</v>
      </c>
      <c r="I63" s="10">
        <v>1160.0999999999999</v>
      </c>
      <c r="J63" s="10">
        <v>219.5</v>
      </c>
      <c r="K63" s="12" t="s">
        <v>29</v>
      </c>
      <c r="L63" s="2">
        <v>1</v>
      </c>
      <c r="M63" s="12">
        <v>646</v>
      </c>
      <c r="N63" s="12">
        <v>19498</v>
      </c>
      <c r="O63" s="12"/>
    </row>
    <row r="64" spans="1:15" x14ac:dyDescent="0.25">
      <c r="A64" s="12"/>
      <c r="B64" s="2"/>
      <c r="C64" s="2"/>
      <c r="D64" s="32"/>
      <c r="E64" s="5"/>
      <c r="F64" s="5"/>
      <c r="G64" s="9"/>
      <c r="H64" s="5"/>
      <c r="I64" s="5"/>
      <c r="J64" s="5"/>
      <c r="L64" s="12"/>
      <c r="M64" s="12"/>
      <c r="N64" s="12"/>
      <c r="O64" s="12"/>
    </row>
    <row r="65" spans="1:15" x14ac:dyDescent="0.25">
      <c r="A65" s="12" t="s">
        <v>26</v>
      </c>
      <c r="B65" s="11"/>
      <c r="C65" s="4">
        <v>51</v>
      </c>
      <c r="D65" s="32">
        <v>51</v>
      </c>
      <c r="E65" s="11"/>
      <c r="F65" s="10">
        <v>800</v>
      </c>
      <c r="G65" s="9">
        <v>800</v>
      </c>
      <c r="H65" s="10">
        <v>360</v>
      </c>
      <c r="I65" s="10">
        <v>47.6</v>
      </c>
      <c r="J65" s="10">
        <v>25.5</v>
      </c>
      <c r="K65" s="12" t="s">
        <v>26</v>
      </c>
      <c r="L65" s="2">
        <v>1</v>
      </c>
      <c r="M65" s="12">
        <v>0</v>
      </c>
      <c r="N65" s="12">
        <v>0</v>
      </c>
      <c r="O65" s="12"/>
    </row>
    <row r="66" spans="1:15" x14ac:dyDescent="0.25">
      <c r="A66" s="12"/>
      <c r="B66" s="12"/>
      <c r="C66" s="2"/>
      <c r="D66" s="32"/>
      <c r="E66" s="12"/>
      <c r="F66" s="5"/>
      <c r="G66" s="9"/>
      <c r="H66" s="5"/>
      <c r="I66" s="5"/>
      <c r="J66" s="5"/>
      <c r="L66" s="12"/>
      <c r="M66" s="12"/>
      <c r="N66" s="12"/>
      <c r="O66" s="12"/>
    </row>
    <row r="67" spans="1:15" x14ac:dyDescent="0.25">
      <c r="A67" s="12" t="s">
        <v>48</v>
      </c>
      <c r="B67" s="4">
        <v>369</v>
      </c>
      <c r="C67" s="4">
        <v>548</v>
      </c>
      <c r="D67" s="32">
        <v>917</v>
      </c>
      <c r="E67" s="10">
        <v>21430</v>
      </c>
      <c r="F67" s="10">
        <v>10432.5</v>
      </c>
      <c r="G67" s="9">
        <v>31862.5</v>
      </c>
      <c r="H67" s="10">
        <v>9157.5</v>
      </c>
      <c r="I67" s="10">
        <v>1895.82</v>
      </c>
      <c r="J67" s="10">
        <v>283.5</v>
      </c>
      <c r="K67" s="12" t="s">
        <v>48</v>
      </c>
      <c r="L67" s="2">
        <v>1</v>
      </c>
      <c r="M67" s="12">
        <v>917</v>
      </c>
      <c r="N67" s="12">
        <v>31863</v>
      </c>
      <c r="O67" s="12"/>
    </row>
    <row r="68" spans="1:15" x14ac:dyDescent="0.25">
      <c r="A68" s="12"/>
      <c r="B68" s="2"/>
      <c r="C68" s="2"/>
      <c r="D68" s="32"/>
      <c r="E68" s="5"/>
      <c r="F68" s="5"/>
      <c r="G68" s="9"/>
      <c r="H68" s="5"/>
      <c r="I68" s="5"/>
      <c r="J68" s="5"/>
      <c r="L68" s="12"/>
      <c r="M68" s="12"/>
      <c r="N68" s="12"/>
      <c r="O68" s="12"/>
    </row>
    <row r="69" spans="1:15" x14ac:dyDescent="0.25">
      <c r="A69" s="12" t="s">
        <v>18</v>
      </c>
      <c r="B69" s="2">
        <v>253</v>
      </c>
      <c r="C69" s="2">
        <v>46</v>
      </c>
      <c r="D69" s="32">
        <v>299</v>
      </c>
      <c r="E69" s="5">
        <v>2530</v>
      </c>
      <c r="F69" s="5">
        <v>460</v>
      </c>
      <c r="G69" s="9">
        <v>2990</v>
      </c>
      <c r="H69" s="5">
        <v>0</v>
      </c>
      <c r="I69" s="5">
        <v>177.91</v>
      </c>
      <c r="J69" s="5">
        <v>124</v>
      </c>
      <c r="L69" s="12"/>
      <c r="M69" s="12"/>
      <c r="N69" s="12"/>
      <c r="O69" s="12"/>
    </row>
    <row r="70" spans="1:15" x14ac:dyDescent="0.25">
      <c r="A70" s="12" t="s">
        <v>30</v>
      </c>
      <c r="B70" s="2">
        <v>69</v>
      </c>
      <c r="C70" s="2">
        <v>242</v>
      </c>
      <c r="D70" s="32">
        <v>311</v>
      </c>
      <c r="E70" s="5">
        <v>690</v>
      </c>
      <c r="F70" s="5">
        <v>2420</v>
      </c>
      <c r="G70" s="9">
        <v>3110</v>
      </c>
      <c r="H70" s="5">
        <v>0</v>
      </c>
      <c r="I70" s="5">
        <v>185.05</v>
      </c>
      <c r="J70" s="5">
        <v>137</v>
      </c>
      <c r="L70" s="12"/>
      <c r="M70" s="12"/>
      <c r="N70" s="12"/>
      <c r="O70" s="12"/>
    </row>
    <row r="71" spans="1:15" x14ac:dyDescent="0.25">
      <c r="A71" s="12"/>
      <c r="B71" s="4">
        <f t="shared" ref="B71:J71" si="9">SUM(B69:B70)</f>
        <v>322</v>
      </c>
      <c r="C71" s="4">
        <f t="shared" si="9"/>
        <v>288</v>
      </c>
      <c r="D71" s="36">
        <f t="shared" si="9"/>
        <v>610</v>
      </c>
      <c r="E71" s="10">
        <f t="shared" si="9"/>
        <v>3220</v>
      </c>
      <c r="F71" s="10">
        <f t="shared" si="9"/>
        <v>2880</v>
      </c>
      <c r="G71" s="16">
        <f t="shared" si="9"/>
        <v>6100</v>
      </c>
      <c r="H71" s="10">
        <f t="shared" si="9"/>
        <v>0</v>
      </c>
      <c r="I71" s="10">
        <f t="shared" si="9"/>
        <v>362.96000000000004</v>
      </c>
      <c r="J71" s="10">
        <f t="shared" si="9"/>
        <v>261</v>
      </c>
      <c r="K71" s="41" t="s">
        <v>30</v>
      </c>
      <c r="L71" s="12">
        <v>2</v>
      </c>
      <c r="M71" s="12">
        <v>610</v>
      </c>
      <c r="N71" s="12">
        <v>6100</v>
      </c>
      <c r="O71" s="12"/>
    </row>
    <row r="72" spans="1:15" x14ac:dyDescent="0.25">
      <c r="A72" s="12" t="s">
        <v>19</v>
      </c>
      <c r="B72" s="2">
        <v>474</v>
      </c>
      <c r="C72" s="2">
        <v>441</v>
      </c>
      <c r="D72" s="32">
        <v>915</v>
      </c>
      <c r="E72" s="5">
        <v>23500</v>
      </c>
      <c r="F72" s="5">
        <v>5275</v>
      </c>
      <c r="G72" s="9">
        <v>28775</v>
      </c>
      <c r="H72" s="5">
        <v>6680</v>
      </c>
      <c r="I72" s="5">
        <v>1712.11</v>
      </c>
      <c r="J72" s="5">
        <v>266.39999999999998</v>
      </c>
      <c r="L72" s="12"/>
      <c r="M72" s="12"/>
      <c r="N72" s="12"/>
      <c r="O72" s="12"/>
    </row>
    <row r="73" spans="1:15" x14ac:dyDescent="0.25">
      <c r="A73" s="12" t="s">
        <v>17</v>
      </c>
      <c r="B73" s="2">
        <v>584</v>
      </c>
      <c r="C73" s="2">
        <v>331</v>
      </c>
      <c r="D73" s="32">
        <v>915</v>
      </c>
      <c r="E73" s="5">
        <v>34390</v>
      </c>
      <c r="F73" s="5">
        <v>4920</v>
      </c>
      <c r="G73" s="9">
        <v>39310</v>
      </c>
      <c r="H73" s="5">
        <v>6720</v>
      </c>
      <c r="I73" s="5">
        <v>2338.9499999999998</v>
      </c>
      <c r="J73" s="5">
        <v>173.5</v>
      </c>
      <c r="L73" s="12"/>
      <c r="M73" s="12"/>
      <c r="N73" s="12"/>
      <c r="O73" s="12"/>
    </row>
    <row r="74" spans="1:15" x14ac:dyDescent="0.25">
      <c r="A74" s="12" t="s">
        <v>15</v>
      </c>
      <c r="B74" s="2">
        <v>523</v>
      </c>
      <c r="C74" s="2">
        <v>376</v>
      </c>
      <c r="D74" s="32">
        <v>899</v>
      </c>
      <c r="E74" s="5">
        <v>30080</v>
      </c>
      <c r="F74" s="5">
        <v>7387.5</v>
      </c>
      <c r="G74" s="9">
        <v>37467.5</v>
      </c>
      <c r="H74" s="5">
        <v>7842.5</v>
      </c>
      <c r="I74" s="5">
        <v>2229.3200000000002</v>
      </c>
      <c r="J74" s="5">
        <v>193</v>
      </c>
      <c r="L74" s="12"/>
      <c r="M74" s="12"/>
      <c r="N74" s="12"/>
      <c r="O74" s="12"/>
    </row>
    <row r="75" spans="1:15" x14ac:dyDescent="0.25">
      <c r="A75" s="12" t="s">
        <v>12</v>
      </c>
      <c r="B75" s="2">
        <v>285</v>
      </c>
      <c r="C75" s="2">
        <v>627</v>
      </c>
      <c r="D75" s="32">
        <v>912</v>
      </c>
      <c r="E75" s="5">
        <v>5970</v>
      </c>
      <c r="F75" s="5">
        <v>2490</v>
      </c>
      <c r="G75" s="9">
        <v>8460</v>
      </c>
      <c r="H75" s="5">
        <v>0</v>
      </c>
      <c r="I75" s="5">
        <v>503.37</v>
      </c>
      <c r="J75" s="5">
        <v>323.5</v>
      </c>
      <c r="L75" s="12"/>
      <c r="M75" s="12"/>
      <c r="N75" s="12"/>
      <c r="O75" s="12"/>
    </row>
    <row r="76" spans="1:15" x14ac:dyDescent="0.25">
      <c r="A76" s="12" t="s">
        <v>11</v>
      </c>
      <c r="B76" s="2">
        <v>522</v>
      </c>
      <c r="C76" s="2">
        <v>365</v>
      </c>
      <c r="D76" s="32">
        <v>887</v>
      </c>
      <c r="E76" s="5">
        <v>30030</v>
      </c>
      <c r="F76" s="5">
        <v>4817.5</v>
      </c>
      <c r="G76" s="9">
        <v>34847.5</v>
      </c>
      <c r="H76" s="5">
        <v>10217.5</v>
      </c>
      <c r="I76" s="5">
        <v>2073.4299999999998</v>
      </c>
      <c r="J76" s="5">
        <v>225.6</v>
      </c>
      <c r="L76" s="12"/>
      <c r="M76" s="12"/>
      <c r="N76" s="12"/>
      <c r="O76" s="12"/>
    </row>
    <row r="77" spans="1:15" x14ac:dyDescent="0.25">
      <c r="A77" s="12" t="s">
        <v>20</v>
      </c>
      <c r="B77" s="2">
        <v>647</v>
      </c>
      <c r="C77" s="2">
        <v>271</v>
      </c>
      <c r="D77" s="32">
        <v>918</v>
      </c>
      <c r="E77" s="5">
        <v>31780</v>
      </c>
      <c r="F77" s="5">
        <v>6185</v>
      </c>
      <c r="G77" s="9">
        <v>37965</v>
      </c>
      <c r="H77" s="5">
        <v>60</v>
      </c>
      <c r="I77" s="5">
        <v>2258.92</v>
      </c>
      <c r="J77" s="5">
        <v>168</v>
      </c>
      <c r="L77" s="12"/>
      <c r="M77" s="12"/>
      <c r="N77" s="12"/>
      <c r="O77" s="12"/>
    </row>
    <row r="78" spans="1:15" x14ac:dyDescent="0.25">
      <c r="A78" s="12"/>
      <c r="B78" s="4">
        <f t="shared" ref="B78:J78" si="10">SUM(B72:B77)</f>
        <v>3035</v>
      </c>
      <c r="C78" s="4">
        <f t="shared" si="10"/>
        <v>2411</v>
      </c>
      <c r="D78" s="36">
        <f t="shared" si="10"/>
        <v>5446</v>
      </c>
      <c r="E78" s="10">
        <f t="shared" si="10"/>
        <v>155750</v>
      </c>
      <c r="F78" s="10">
        <f t="shared" si="10"/>
        <v>31075</v>
      </c>
      <c r="G78" s="16">
        <f t="shared" si="10"/>
        <v>186825</v>
      </c>
      <c r="H78" s="10">
        <f t="shared" si="10"/>
        <v>31520</v>
      </c>
      <c r="I78" s="10">
        <f t="shared" si="10"/>
        <v>11116.099999999999</v>
      </c>
      <c r="J78" s="10">
        <f t="shared" si="10"/>
        <v>1350</v>
      </c>
      <c r="K78" s="12" t="s">
        <v>20</v>
      </c>
      <c r="L78" s="12">
        <v>6</v>
      </c>
      <c r="M78" s="12">
        <v>5446</v>
      </c>
      <c r="N78" s="12">
        <v>186825</v>
      </c>
      <c r="O78" s="12"/>
    </row>
    <row r="79" spans="1:15" x14ac:dyDescent="0.25">
      <c r="A79" s="12" t="s">
        <v>42</v>
      </c>
      <c r="B79" s="4">
        <v>69</v>
      </c>
      <c r="C79" s="4">
        <v>107</v>
      </c>
      <c r="D79" s="32">
        <v>176</v>
      </c>
      <c r="E79" s="10">
        <v>1390</v>
      </c>
      <c r="F79" s="10">
        <v>780</v>
      </c>
      <c r="G79" s="9">
        <v>2170</v>
      </c>
      <c r="H79" s="10">
        <v>120</v>
      </c>
      <c r="I79" s="10">
        <v>129.12</v>
      </c>
      <c r="J79" s="10">
        <v>54.5</v>
      </c>
      <c r="K79" s="12" t="s">
        <v>42</v>
      </c>
      <c r="L79" s="3">
        <v>1</v>
      </c>
      <c r="M79" s="3">
        <v>176</v>
      </c>
      <c r="N79" s="3">
        <v>2170</v>
      </c>
      <c r="O79" s="12"/>
    </row>
    <row r="80" spans="1:15" x14ac:dyDescent="0.25">
      <c r="A80" s="12"/>
      <c r="B80" s="2"/>
      <c r="C80" s="2"/>
      <c r="D80" s="32"/>
      <c r="E80" s="5"/>
      <c r="F80" s="5"/>
      <c r="G80" s="9"/>
      <c r="H80" s="5"/>
      <c r="I80" s="5"/>
      <c r="J80" s="5"/>
      <c r="L80" s="12"/>
      <c r="M80" s="12"/>
      <c r="N80" s="12"/>
      <c r="O80" s="12"/>
    </row>
    <row r="81" spans="1:15" x14ac:dyDescent="0.25">
      <c r="A81" s="12" t="s">
        <v>51</v>
      </c>
      <c r="B81" s="4">
        <v>347</v>
      </c>
      <c r="C81" s="4">
        <v>565</v>
      </c>
      <c r="D81" s="32">
        <v>912</v>
      </c>
      <c r="E81" s="10">
        <v>21305</v>
      </c>
      <c r="F81" s="10">
        <v>10622.5</v>
      </c>
      <c r="G81" s="9">
        <v>31927.5</v>
      </c>
      <c r="H81" s="10">
        <v>10982.5</v>
      </c>
      <c r="I81" s="10">
        <v>1899.69</v>
      </c>
      <c r="J81" s="10">
        <v>289.5</v>
      </c>
      <c r="K81" s="12" t="s">
        <v>51</v>
      </c>
      <c r="L81" s="12">
        <v>1</v>
      </c>
      <c r="M81" s="12">
        <v>912</v>
      </c>
      <c r="N81" s="12">
        <v>31928</v>
      </c>
      <c r="O81" s="12"/>
    </row>
    <row r="82" spans="1:15" x14ac:dyDescent="0.25">
      <c r="A82" s="12"/>
      <c r="B82" s="2"/>
      <c r="C82" s="2"/>
      <c r="D82" s="32"/>
      <c r="E82" s="5"/>
      <c r="F82" s="5"/>
      <c r="G82" s="9"/>
      <c r="H82" s="5"/>
      <c r="I82" s="5"/>
      <c r="J82" s="5"/>
      <c r="L82" s="12"/>
      <c r="M82" s="12"/>
      <c r="N82" s="12"/>
      <c r="O82" s="12"/>
    </row>
    <row r="83" spans="1:15" x14ac:dyDescent="0.25">
      <c r="A83" s="12" t="s">
        <v>66</v>
      </c>
      <c r="B83" s="2">
        <v>519</v>
      </c>
      <c r="C83" s="3">
        <v>393</v>
      </c>
      <c r="D83" s="32">
        <v>912</v>
      </c>
      <c r="E83" s="6">
        <v>23550</v>
      </c>
      <c r="F83" s="6">
        <v>6365</v>
      </c>
      <c r="G83" s="9">
        <v>29915</v>
      </c>
      <c r="H83" s="6">
        <v>5495</v>
      </c>
      <c r="I83" s="6">
        <v>2135.9299999999998</v>
      </c>
      <c r="J83" s="6">
        <v>224</v>
      </c>
      <c r="L83" s="12"/>
      <c r="M83" s="12"/>
      <c r="N83" s="12"/>
      <c r="O83" s="12"/>
    </row>
    <row r="84" spans="1:15" x14ac:dyDescent="0.25">
      <c r="A84" s="12" t="s">
        <v>65</v>
      </c>
      <c r="B84" s="2">
        <v>440</v>
      </c>
      <c r="C84" s="3">
        <v>475</v>
      </c>
      <c r="D84" s="32">
        <v>915</v>
      </c>
      <c r="E84" s="6">
        <v>18615</v>
      </c>
      <c r="F84" s="6">
        <v>6972.5</v>
      </c>
      <c r="G84" s="9">
        <v>25587.5</v>
      </c>
      <c r="H84" s="6">
        <v>6642.5</v>
      </c>
      <c r="I84" s="6">
        <v>1826.95</v>
      </c>
      <c r="J84" s="6">
        <v>254</v>
      </c>
      <c r="L84" s="12"/>
      <c r="M84" s="12"/>
      <c r="N84" s="12"/>
      <c r="O84" s="12"/>
    </row>
    <row r="85" spans="1:15" x14ac:dyDescent="0.25">
      <c r="A85" s="12"/>
      <c r="B85" s="4">
        <f t="shared" ref="B85:J85" si="11">SUM(B83:B84)</f>
        <v>959</v>
      </c>
      <c r="C85" s="4">
        <f t="shared" si="11"/>
        <v>868</v>
      </c>
      <c r="D85" s="36">
        <f t="shared" si="11"/>
        <v>1827</v>
      </c>
      <c r="E85" s="10">
        <f t="shared" si="11"/>
        <v>42165</v>
      </c>
      <c r="F85" s="10">
        <f t="shared" si="11"/>
        <v>13337.5</v>
      </c>
      <c r="G85" s="16">
        <f t="shared" si="11"/>
        <v>55502.5</v>
      </c>
      <c r="H85" s="10">
        <f t="shared" si="11"/>
        <v>12137.5</v>
      </c>
      <c r="I85" s="10">
        <f t="shared" si="11"/>
        <v>3962.88</v>
      </c>
      <c r="J85" s="10">
        <f t="shared" si="11"/>
        <v>478</v>
      </c>
      <c r="K85" s="12" t="s">
        <v>65</v>
      </c>
      <c r="L85" s="12">
        <v>2</v>
      </c>
      <c r="M85" s="12">
        <v>1828</v>
      </c>
      <c r="N85" s="12">
        <v>55502</v>
      </c>
      <c r="O85" s="12"/>
    </row>
    <row r="86" spans="1:15" x14ac:dyDescent="0.25">
      <c r="A86" s="12" t="s">
        <v>14</v>
      </c>
      <c r="B86" s="2">
        <v>177</v>
      </c>
      <c r="C86" s="2">
        <v>205</v>
      </c>
      <c r="D86" s="32">
        <v>382</v>
      </c>
      <c r="E86" s="5">
        <v>9472.5</v>
      </c>
      <c r="F86" s="5">
        <v>2642.5</v>
      </c>
      <c r="G86" s="9">
        <v>12115</v>
      </c>
      <c r="H86" s="5">
        <v>4440</v>
      </c>
      <c r="I86" s="5">
        <v>720.84</v>
      </c>
      <c r="J86" s="5">
        <v>122</v>
      </c>
      <c r="L86" s="12"/>
      <c r="M86" s="12"/>
      <c r="N86" s="12"/>
      <c r="O86" s="12"/>
    </row>
    <row r="87" spans="1:15" x14ac:dyDescent="0.25">
      <c r="A87" s="12" t="s">
        <v>67</v>
      </c>
      <c r="B87" s="2">
        <v>326</v>
      </c>
      <c r="C87" s="2">
        <v>367</v>
      </c>
      <c r="D87" s="32">
        <v>693</v>
      </c>
      <c r="E87" s="5">
        <v>14865</v>
      </c>
      <c r="F87" s="5">
        <v>7220</v>
      </c>
      <c r="G87" s="9">
        <v>22085</v>
      </c>
      <c r="H87" s="5">
        <v>5040</v>
      </c>
      <c r="I87" s="5">
        <v>1576.87</v>
      </c>
      <c r="J87" s="5">
        <v>195</v>
      </c>
      <c r="L87" s="12"/>
      <c r="M87" s="12"/>
      <c r="N87" s="12"/>
      <c r="O87" s="12"/>
    </row>
    <row r="88" spans="1:15" x14ac:dyDescent="0.25">
      <c r="A88" s="12"/>
      <c r="B88" s="4">
        <f t="shared" ref="B88:J88" si="12">SUM(B86:B87)</f>
        <v>503</v>
      </c>
      <c r="C88" s="4">
        <f t="shared" si="12"/>
        <v>572</v>
      </c>
      <c r="D88" s="36">
        <f t="shared" si="12"/>
        <v>1075</v>
      </c>
      <c r="E88" s="10">
        <f t="shared" si="12"/>
        <v>24337.5</v>
      </c>
      <c r="F88" s="10">
        <f t="shared" si="12"/>
        <v>9862.5</v>
      </c>
      <c r="G88" s="16">
        <f t="shared" si="12"/>
        <v>34200</v>
      </c>
      <c r="H88" s="10">
        <f t="shared" si="12"/>
        <v>9480</v>
      </c>
      <c r="I88" s="10">
        <f t="shared" si="12"/>
        <v>2297.71</v>
      </c>
      <c r="J88" s="10">
        <f t="shared" si="12"/>
        <v>317</v>
      </c>
      <c r="K88" s="12" t="s">
        <v>67</v>
      </c>
      <c r="L88" s="12">
        <v>2</v>
      </c>
      <c r="M88" s="12">
        <v>1075</v>
      </c>
      <c r="N88" s="12">
        <v>34200</v>
      </c>
      <c r="O88" s="12"/>
    </row>
    <row r="89" spans="1:15" x14ac:dyDescent="0.25">
      <c r="A89" s="12" t="s">
        <v>43</v>
      </c>
      <c r="B89" s="4">
        <v>331</v>
      </c>
      <c r="C89" s="4">
        <v>565</v>
      </c>
      <c r="D89" s="32">
        <v>896</v>
      </c>
      <c r="E89" s="10">
        <v>20365</v>
      </c>
      <c r="F89" s="10">
        <v>11305</v>
      </c>
      <c r="G89" s="9">
        <v>31670</v>
      </c>
      <c r="H89" s="10">
        <v>10680</v>
      </c>
      <c r="I89" s="10">
        <v>1884.37</v>
      </c>
      <c r="J89" s="10">
        <v>284.5</v>
      </c>
      <c r="K89" s="12" t="s">
        <v>43</v>
      </c>
      <c r="L89" s="3">
        <v>1</v>
      </c>
      <c r="M89" s="12">
        <v>896</v>
      </c>
      <c r="N89" s="12">
        <v>31670</v>
      </c>
      <c r="O89" s="12"/>
    </row>
    <row r="90" spans="1:15" x14ac:dyDescent="0.25">
      <c r="A90" s="12"/>
      <c r="B90" s="2"/>
      <c r="C90" s="2"/>
      <c r="D90" s="32"/>
      <c r="E90" s="5"/>
      <c r="F90" s="5"/>
      <c r="G90" s="9"/>
      <c r="H90" s="5"/>
      <c r="I90" s="5"/>
      <c r="J90" s="5"/>
      <c r="L90" s="12"/>
      <c r="M90" s="12"/>
      <c r="N90" s="12"/>
      <c r="O90" s="12"/>
    </row>
    <row r="91" spans="1:15" x14ac:dyDescent="0.25">
      <c r="A91" s="12" t="s">
        <v>32</v>
      </c>
      <c r="B91" s="2">
        <v>272</v>
      </c>
      <c r="C91" s="2">
        <v>625</v>
      </c>
      <c r="D91" s="32">
        <v>897</v>
      </c>
      <c r="E91" s="5">
        <v>18420</v>
      </c>
      <c r="F91" s="5">
        <v>10540</v>
      </c>
      <c r="G91" s="9">
        <v>28960</v>
      </c>
      <c r="H91" s="5">
        <v>15335</v>
      </c>
      <c r="I91" s="5">
        <v>1723.13</v>
      </c>
      <c r="J91" s="5">
        <v>314.5</v>
      </c>
      <c r="L91" s="12"/>
      <c r="M91" s="12"/>
      <c r="N91" s="12"/>
      <c r="O91" s="12"/>
    </row>
    <row r="92" spans="1:15" x14ac:dyDescent="0.25">
      <c r="A92" s="12" t="s">
        <v>21</v>
      </c>
      <c r="B92" s="2">
        <v>292</v>
      </c>
      <c r="C92" s="2">
        <v>615</v>
      </c>
      <c r="D92" s="32">
        <v>907</v>
      </c>
      <c r="E92" s="5">
        <v>18745</v>
      </c>
      <c r="F92" s="5">
        <v>11857.5</v>
      </c>
      <c r="G92" s="9">
        <v>30602.5</v>
      </c>
      <c r="H92" s="5">
        <v>15262.5</v>
      </c>
      <c r="I92" s="5">
        <v>1820.85</v>
      </c>
      <c r="J92" s="5">
        <v>361.8</v>
      </c>
      <c r="L92" s="12"/>
      <c r="M92" s="12"/>
      <c r="N92" s="12"/>
      <c r="O92" s="12"/>
    </row>
    <row r="93" spans="1:15" x14ac:dyDescent="0.25">
      <c r="A93" s="12"/>
      <c r="B93" s="4">
        <f t="shared" ref="B93:J93" si="13">SUM(B91:B92)</f>
        <v>564</v>
      </c>
      <c r="C93" s="4">
        <f t="shared" si="13"/>
        <v>1240</v>
      </c>
      <c r="D93" s="36">
        <f t="shared" si="13"/>
        <v>1804</v>
      </c>
      <c r="E93" s="10">
        <f t="shared" si="13"/>
        <v>37165</v>
      </c>
      <c r="F93" s="10">
        <f t="shared" si="13"/>
        <v>22397.5</v>
      </c>
      <c r="G93" s="16">
        <f t="shared" si="13"/>
        <v>59562.5</v>
      </c>
      <c r="H93" s="10">
        <f t="shared" si="13"/>
        <v>30597.5</v>
      </c>
      <c r="I93" s="10">
        <f t="shared" si="13"/>
        <v>3543.98</v>
      </c>
      <c r="J93" s="10">
        <f t="shared" si="13"/>
        <v>676.3</v>
      </c>
      <c r="K93" s="12" t="s">
        <v>21</v>
      </c>
      <c r="L93" s="12">
        <v>2</v>
      </c>
      <c r="M93" s="12">
        <v>1804</v>
      </c>
      <c r="N93" s="12">
        <v>59563</v>
      </c>
      <c r="O93" s="12"/>
    </row>
    <row r="94" spans="1:15" x14ac:dyDescent="0.25">
      <c r="A94" s="12" t="s">
        <v>10</v>
      </c>
      <c r="B94" s="2">
        <v>240</v>
      </c>
      <c r="C94" s="2">
        <v>156</v>
      </c>
      <c r="D94" s="32">
        <v>396</v>
      </c>
      <c r="E94" s="5">
        <v>11347.5</v>
      </c>
      <c r="F94" s="5">
        <v>2522.5</v>
      </c>
      <c r="G94" s="9">
        <v>13870</v>
      </c>
      <c r="H94" s="5">
        <v>3085</v>
      </c>
      <c r="I94" s="5">
        <v>825.27</v>
      </c>
      <c r="J94" s="5">
        <v>85.5</v>
      </c>
      <c r="L94" s="12"/>
      <c r="M94" s="12"/>
      <c r="N94" s="12"/>
      <c r="O94" s="12"/>
    </row>
    <row r="95" spans="1:15" x14ac:dyDescent="0.25">
      <c r="A95" s="12" t="s">
        <v>9</v>
      </c>
      <c r="B95" s="2">
        <v>497</v>
      </c>
      <c r="C95" s="2">
        <v>362</v>
      </c>
      <c r="D95" s="32">
        <v>859</v>
      </c>
      <c r="E95" s="5">
        <v>27852.5</v>
      </c>
      <c r="F95" s="5">
        <v>6247.5</v>
      </c>
      <c r="G95" s="9">
        <v>34100</v>
      </c>
      <c r="H95" s="5">
        <v>8780</v>
      </c>
      <c r="I95" s="5">
        <v>2028.95</v>
      </c>
      <c r="J95" s="5">
        <v>191</v>
      </c>
      <c r="L95" s="12"/>
      <c r="M95" s="12"/>
      <c r="N95" s="12"/>
      <c r="O95" s="12"/>
    </row>
    <row r="96" spans="1:15" x14ac:dyDescent="0.25">
      <c r="A96" s="12"/>
      <c r="B96" s="4">
        <f t="shared" ref="B96:J96" si="14">SUM(B94:B95)</f>
        <v>737</v>
      </c>
      <c r="C96" s="4">
        <f t="shared" si="14"/>
        <v>518</v>
      </c>
      <c r="D96" s="36">
        <f t="shared" si="14"/>
        <v>1255</v>
      </c>
      <c r="E96" s="10">
        <f t="shared" si="14"/>
        <v>39200</v>
      </c>
      <c r="F96" s="10">
        <f t="shared" si="14"/>
        <v>8770</v>
      </c>
      <c r="G96" s="16">
        <f t="shared" si="14"/>
        <v>47970</v>
      </c>
      <c r="H96" s="10">
        <f t="shared" si="14"/>
        <v>11865</v>
      </c>
      <c r="I96" s="10">
        <f t="shared" si="14"/>
        <v>2854.2200000000003</v>
      </c>
      <c r="J96" s="10">
        <f t="shared" si="14"/>
        <v>276.5</v>
      </c>
      <c r="K96" s="12" t="s">
        <v>10</v>
      </c>
      <c r="L96" s="12">
        <v>2</v>
      </c>
      <c r="M96" s="12">
        <v>1255</v>
      </c>
      <c r="N96" s="12">
        <v>47970</v>
      </c>
      <c r="O96" s="12"/>
    </row>
    <row r="97" spans="1:15" x14ac:dyDescent="0.25">
      <c r="A97" s="12" t="s">
        <v>45</v>
      </c>
      <c r="B97" s="2">
        <v>262</v>
      </c>
      <c r="C97" s="2">
        <v>485</v>
      </c>
      <c r="D97" s="32">
        <v>747</v>
      </c>
      <c r="E97" s="5">
        <v>16655</v>
      </c>
      <c r="F97" s="5">
        <v>10292.5</v>
      </c>
      <c r="G97" s="9">
        <v>26947.5</v>
      </c>
      <c r="H97" s="5">
        <v>10362.5</v>
      </c>
      <c r="I97" s="5">
        <v>1603.38</v>
      </c>
      <c r="J97" s="5">
        <v>246</v>
      </c>
      <c r="L97" s="12"/>
      <c r="M97" s="12"/>
      <c r="N97" s="12"/>
      <c r="O97" s="12"/>
    </row>
    <row r="98" spans="1:15" x14ac:dyDescent="0.25">
      <c r="A98" s="12" t="s">
        <v>44</v>
      </c>
      <c r="B98" s="2">
        <v>175</v>
      </c>
      <c r="C98" s="2">
        <v>662</v>
      </c>
      <c r="D98" s="32">
        <v>837</v>
      </c>
      <c r="E98" s="5">
        <v>10420</v>
      </c>
      <c r="F98" s="5">
        <v>9120</v>
      </c>
      <c r="G98" s="9">
        <v>19540</v>
      </c>
      <c r="H98" s="5">
        <v>9710</v>
      </c>
      <c r="I98" s="5">
        <v>1162.6300000000001</v>
      </c>
      <c r="J98" s="5">
        <v>332.5</v>
      </c>
      <c r="L98" s="12"/>
      <c r="M98" s="12"/>
      <c r="N98" s="12"/>
      <c r="O98" s="12"/>
    </row>
    <row r="99" spans="1:15" x14ac:dyDescent="0.25">
      <c r="A99" s="12"/>
      <c r="B99" s="17">
        <f t="shared" ref="B99:J99" si="15">SUM(B97:B98)</f>
        <v>437</v>
      </c>
      <c r="C99" s="17">
        <f t="shared" si="15"/>
        <v>1147</v>
      </c>
      <c r="D99" s="37">
        <f t="shared" si="15"/>
        <v>1584</v>
      </c>
      <c r="E99" s="18">
        <f t="shared" si="15"/>
        <v>27075</v>
      </c>
      <c r="F99" s="18">
        <f t="shared" si="15"/>
        <v>19412.5</v>
      </c>
      <c r="G99" s="19">
        <f t="shared" si="15"/>
        <v>46487.5</v>
      </c>
      <c r="H99" s="18">
        <f t="shared" si="15"/>
        <v>20072.5</v>
      </c>
      <c r="I99" s="18">
        <f t="shared" si="15"/>
        <v>2766.01</v>
      </c>
      <c r="J99" s="18">
        <f t="shared" si="15"/>
        <v>578.5</v>
      </c>
      <c r="K99" s="12" t="s">
        <v>45</v>
      </c>
      <c r="L99" s="12">
        <v>2</v>
      </c>
      <c r="M99" s="12">
        <v>1584</v>
      </c>
      <c r="N99" s="12">
        <v>46488</v>
      </c>
      <c r="O99" s="12"/>
    </row>
    <row r="100" spans="1:15" x14ac:dyDescent="0.25">
      <c r="A100" s="20" t="s">
        <v>70</v>
      </c>
      <c r="B100" s="13"/>
      <c r="C100" s="13"/>
      <c r="D100" s="34"/>
      <c r="E100" s="14"/>
      <c r="F100" s="14"/>
      <c r="G100" s="21"/>
      <c r="H100" s="14"/>
      <c r="I100" s="14"/>
      <c r="J100" s="14"/>
      <c r="L100" s="2">
        <f>SUM(L4:L99)</f>
        <v>61</v>
      </c>
      <c r="M100" s="2">
        <f>SUM(M4:M99)</f>
        <v>42992</v>
      </c>
      <c r="N100" s="39">
        <f>SUM(N4:N99)</f>
        <v>1370384</v>
      </c>
      <c r="O100" s="12"/>
    </row>
    <row r="101" spans="1:15" x14ac:dyDescent="0.25">
      <c r="A101" s="12"/>
      <c r="B101" s="12"/>
      <c r="C101" s="12"/>
      <c r="D101" s="12"/>
      <c r="E101" s="12"/>
      <c r="F101" s="12"/>
      <c r="G101" s="22"/>
      <c r="H101" s="12"/>
      <c r="I101" s="12"/>
      <c r="J101" s="12"/>
    </row>
    <row r="102" spans="1:15" x14ac:dyDescent="0.25">
      <c r="D102"/>
      <c r="G102" s="15"/>
    </row>
    <row r="103" spans="1:15" x14ac:dyDescent="0.25">
      <c r="D103"/>
      <c r="G103" s="15"/>
    </row>
    <row r="104" spans="1:15" x14ac:dyDescent="0.25">
      <c r="D104"/>
      <c r="G104" s="15"/>
    </row>
    <row r="105" spans="1:15" x14ac:dyDescent="0.25">
      <c r="D105"/>
      <c r="G105" s="15"/>
    </row>
    <row r="106" spans="1:15" x14ac:dyDescent="0.25">
      <c r="D106"/>
      <c r="G106" s="15"/>
    </row>
    <row r="107" spans="1:15" x14ac:dyDescent="0.25">
      <c r="D107"/>
      <c r="G107" s="15"/>
    </row>
    <row r="108" spans="1:15" x14ac:dyDescent="0.25">
      <c r="D108"/>
      <c r="G108" s="15"/>
    </row>
    <row r="109" spans="1:15" x14ac:dyDescent="0.25">
      <c r="D109"/>
      <c r="G109" s="15"/>
    </row>
    <row r="110" spans="1:15" x14ac:dyDescent="0.25">
      <c r="D110"/>
      <c r="G110" s="15"/>
    </row>
    <row r="111" spans="1:15" x14ac:dyDescent="0.25">
      <c r="D111"/>
      <c r="G111" s="15"/>
    </row>
    <row r="112" spans="1:15" x14ac:dyDescent="0.25">
      <c r="D112"/>
      <c r="G112" s="15"/>
    </row>
    <row r="113" spans="4:7" x14ac:dyDescent="0.25">
      <c r="D113"/>
      <c r="G113" s="15"/>
    </row>
    <row r="114" spans="4:7" x14ac:dyDescent="0.25">
      <c r="D114"/>
      <c r="G114" s="15"/>
    </row>
    <row r="115" spans="4:7" x14ac:dyDescent="0.25">
      <c r="D115"/>
      <c r="G115" s="15"/>
    </row>
    <row r="116" spans="4:7" x14ac:dyDescent="0.25">
      <c r="D116"/>
      <c r="G116" s="15"/>
    </row>
    <row r="117" spans="4:7" x14ac:dyDescent="0.25">
      <c r="D117"/>
      <c r="G117" s="15"/>
    </row>
    <row r="118" spans="4:7" x14ac:dyDescent="0.25">
      <c r="D118"/>
      <c r="G118" s="15"/>
    </row>
    <row r="119" spans="4:7" x14ac:dyDescent="0.25">
      <c r="D119"/>
      <c r="G119" s="15"/>
    </row>
    <row r="120" spans="4:7" x14ac:dyDescent="0.25">
      <c r="D120"/>
      <c r="G120" s="15"/>
    </row>
    <row r="121" spans="4:7" x14ac:dyDescent="0.25">
      <c r="D121"/>
      <c r="G121" s="15"/>
    </row>
    <row r="122" spans="4:7" x14ac:dyDescent="0.25">
      <c r="D122"/>
      <c r="G122" s="15"/>
    </row>
    <row r="123" spans="4:7" x14ac:dyDescent="0.25">
      <c r="D123"/>
      <c r="G123" s="15"/>
    </row>
    <row r="124" spans="4:7" x14ac:dyDescent="0.25">
      <c r="D124"/>
      <c r="G124" s="15"/>
    </row>
    <row r="125" spans="4:7" x14ac:dyDescent="0.25">
      <c r="D125"/>
      <c r="G125" s="15"/>
    </row>
    <row r="126" spans="4:7" x14ac:dyDescent="0.25">
      <c r="D126"/>
      <c r="G126" s="15"/>
    </row>
    <row r="127" spans="4:7" x14ac:dyDescent="0.25">
      <c r="D127"/>
      <c r="G127" s="15"/>
    </row>
    <row r="128" spans="4:7" x14ac:dyDescent="0.25">
      <c r="D128"/>
      <c r="G128" s="15"/>
    </row>
    <row r="129" spans="4:7" x14ac:dyDescent="0.25">
      <c r="D129"/>
      <c r="G129" s="15"/>
    </row>
    <row r="130" spans="4:7" x14ac:dyDescent="0.25">
      <c r="D130"/>
      <c r="G130" s="15"/>
    </row>
    <row r="131" spans="4:7" x14ac:dyDescent="0.25">
      <c r="D131"/>
      <c r="G131" s="15"/>
    </row>
    <row r="132" spans="4:7" x14ac:dyDescent="0.25">
      <c r="D132"/>
      <c r="G132" s="15"/>
    </row>
    <row r="133" spans="4:7" x14ac:dyDescent="0.25">
      <c r="D133"/>
      <c r="G133" s="15"/>
    </row>
    <row r="134" spans="4:7" x14ac:dyDescent="0.25">
      <c r="D134"/>
      <c r="G134" s="15"/>
    </row>
    <row r="135" spans="4:7" x14ac:dyDescent="0.25">
      <c r="D135"/>
      <c r="G135" s="15"/>
    </row>
    <row r="136" spans="4:7" x14ac:dyDescent="0.25">
      <c r="D136"/>
      <c r="G136" s="15"/>
    </row>
    <row r="137" spans="4:7" x14ac:dyDescent="0.25">
      <c r="D137"/>
      <c r="G137" s="15"/>
    </row>
    <row r="138" spans="4:7" x14ac:dyDescent="0.25">
      <c r="D138"/>
      <c r="G138" s="15"/>
    </row>
    <row r="139" spans="4:7" x14ac:dyDescent="0.25">
      <c r="D139"/>
      <c r="G139" s="15"/>
    </row>
    <row r="140" spans="4:7" x14ac:dyDescent="0.25">
      <c r="D140"/>
      <c r="G140" s="15"/>
    </row>
    <row r="141" spans="4:7" x14ac:dyDescent="0.25">
      <c r="D141"/>
      <c r="G141" s="15"/>
    </row>
    <row r="142" spans="4:7" x14ac:dyDescent="0.25">
      <c r="D142"/>
      <c r="G142" s="15"/>
    </row>
    <row r="143" spans="4:7" x14ac:dyDescent="0.25">
      <c r="D143"/>
      <c r="G143" s="15"/>
    </row>
    <row r="144" spans="4:7" x14ac:dyDescent="0.25">
      <c r="D144"/>
      <c r="G144" s="15"/>
    </row>
    <row r="145" spans="4:7" x14ac:dyDescent="0.25">
      <c r="D145"/>
      <c r="G145" s="15"/>
    </row>
    <row r="146" spans="4:7" x14ac:dyDescent="0.25">
      <c r="D146"/>
      <c r="G146" s="15"/>
    </row>
    <row r="147" spans="4:7" x14ac:dyDescent="0.25">
      <c r="D147"/>
      <c r="G147" s="15"/>
    </row>
    <row r="148" spans="4:7" x14ac:dyDescent="0.25">
      <c r="D148"/>
      <c r="G148" s="15"/>
    </row>
    <row r="149" spans="4:7" x14ac:dyDescent="0.25">
      <c r="D149"/>
      <c r="G149" s="15"/>
    </row>
    <row r="150" spans="4:7" x14ac:dyDescent="0.25">
      <c r="D150"/>
      <c r="G150" s="15"/>
    </row>
    <row r="151" spans="4:7" x14ac:dyDescent="0.25">
      <c r="D151"/>
      <c r="G151" s="15"/>
    </row>
    <row r="152" spans="4:7" x14ac:dyDescent="0.25">
      <c r="D152"/>
      <c r="G152" s="15"/>
    </row>
    <row r="153" spans="4:7" x14ac:dyDescent="0.25">
      <c r="D153"/>
      <c r="G153" s="15"/>
    </row>
    <row r="154" spans="4:7" x14ac:dyDescent="0.25">
      <c r="D154"/>
      <c r="G154" s="15"/>
    </row>
    <row r="155" spans="4:7" x14ac:dyDescent="0.25">
      <c r="D155"/>
      <c r="G155" s="15"/>
    </row>
    <row r="156" spans="4:7" x14ac:dyDescent="0.25">
      <c r="D156"/>
      <c r="G156" s="15"/>
    </row>
    <row r="157" spans="4:7" x14ac:dyDescent="0.25">
      <c r="D157"/>
      <c r="G157" s="15"/>
    </row>
    <row r="158" spans="4:7" x14ac:dyDescent="0.25">
      <c r="D158"/>
      <c r="G158" s="15"/>
    </row>
    <row r="159" spans="4:7" x14ac:dyDescent="0.25">
      <c r="D159"/>
      <c r="G159" s="15"/>
    </row>
    <row r="160" spans="4:7" x14ac:dyDescent="0.25">
      <c r="D160"/>
      <c r="G160" s="15"/>
    </row>
    <row r="161" spans="4:7" x14ac:dyDescent="0.25">
      <c r="D161"/>
      <c r="G161" s="15"/>
    </row>
    <row r="162" spans="4:7" x14ac:dyDescent="0.25">
      <c r="D162"/>
      <c r="G162" s="15"/>
    </row>
    <row r="163" spans="4:7" x14ac:dyDescent="0.25">
      <c r="D163"/>
      <c r="G163" s="15"/>
    </row>
    <row r="164" spans="4:7" x14ac:dyDescent="0.25">
      <c r="D164"/>
      <c r="G164" s="15"/>
    </row>
    <row r="165" spans="4:7" x14ac:dyDescent="0.25">
      <c r="D165"/>
      <c r="G165" s="15"/>
    </row>
    <row r="166" spans="4:7" x14ac:dyDescent="0.25">
      <c r="D166"/>
      <c r="G166" s="15"/>
    </row>
    <row r="167" spans="4:7" x14ac:dyDescent="0.25">
      <c r="D167"/>
      <c r="G167" s="15"/>
    </row>
    <row r="168" spans="4:7" x14ac:dyDescent="0.25">
      <c r="D168"/>
      <c r="G168" s="15"/>
    </row>
    <row r="169" spans="4:7" x14ac:dyDescent="0.25">
      <c r="D169"/>
      <c r="G169" s="15"/>
    </row>
    <row r="170" spans="4:7" x14ac:dyDescent="0.25">
      <c r="D170"/>
      <c r="G170" s="15"/>
    </row>
    <row r="171" spans="4:7" x14ac:dyDescent="0.25">
      <c r="D171"/>
      <c r="G171" s="15"/>
    </row>
    <row r="172" spans="4:7" x14ac:dyDescent="0.25">
      <c r="D172"/>
      <c r="G172" s="15"/>
    </row>
    <row r="173" spans="4:7" x14ac:dyDescent="0.25">
      <c r="D173"/>
      <c r="G173" s="15"/>
    </row>
    <row r="174" spans="4:7" x14ac:dyDescent="0.25">
      <c r="D174"/>
      <c r="G174" s="15"/>
    </row>
    <row r="175" spans="4:7" x14ac:dyDescent="0.25">
      <c r="D175"/>
      <c r="G175" s="15"/>
    </row>
    <row r="176" spans="4:7" x14ac:dyDescent="0.25">
      <c r="D176"/>
      <c r="G176" s="15"/>
    </row>
    <row r="177" spans="4:7" x14ac:dyDescent="0.25">
      <c r="D177"/>
      <c r="G177" s="15"/>
    </row>
    <row r="178" spans="4:7" x14ac:dyDescent="0.25">
      <c r="D178"/>
      <c r="G178" s="15"/>
    </row>
    <row r="179" spans="4:7" x14ac:dyDescent="0.25">
      <c r="D179"/>
      <c r="G179" s="15"/>
    </row>
    <row r="180" spans="4:7" x14ac:dyDescent="0.25">
      <c r="D180"/>
      <c r="G180" s="15"/>
    </row>
    <row r="181" spans="4:7" x14ac:dyDescent="0.25">
      <c r="D181"/>
      <c r="G181" s="15"/>
    </row>
    <row r="182" spans="4:7" x14ac:dyDescent="0.25">
      <c r="D182"/>
      <c r="G182" s="15"/>
    </row>
    <row r="183" spans="4:7" x14ac:dyDescent="0.25">
      <c r="D183"/>
      <c r="G183" s="15"/>
    </row>
    <row r="184" spans="4:7" x14ac:dyDescent="0.25">
      <c r="D184"/>
      <c r="G184" s="15"/>
    </row>
    <row r="185" spans="4:7" x14ac:dyDescent="0.25">
      <c r="D185"/>
      <c r="G185" s="15"/>
    </row>
    <row r="186" spans="4:7" x14ac:dyDescent="0.25">
      <c r="D186"/>
      <c r="G186" s="15"/>
    </row>
    <row r="187" spans="4:7" x14ac:dyDescent="0.25">
      <c r="D187"/>
      <c r="G187" s="15"/>
    </row>
    <row r="188" spans="4:7" x14ac:dyDescent="0.25">
      <c r="D188"/>
      <c r="G188" s="15"/>
    </row>
    <row r="189" spans="4:7" x14ac:dyDescent="0.25">
      <c r="D189"/>
      <c r="G189" s="15"/>
    </row>
    <row r="190" spans="4:7" x14ac:dyDescent="0.25">
      <c r="D190"/>
      <c r="G190" s="15"/>
    </row>
    <row r="191" spans="4:7" x14ac:dyDescent="0.25">
      <c r="D191"/>
      <c r="G191" s="15"/>
    </row>
    <row r="192" spans="4:7" x14ac:dyDescent="0.25">
      <c r="D192"/>
      <c r="G192" s="15"/>
    </row>
    <row r="193" spans="4:7" x14ac:dyDescent="0.25">
      <c r="D193"/>
      <c r="G193" s="15"/>
    </row>
    <row r="194" spans="4:7" x14ac:dyDescent="0.25">
      <c r="D194"/>
      <c r="G194" s="15"/>
    </row>
    <row r="195" spans="4:7" x14ac:dyDescent="0.25">
      <c r="D195"/>
      <c r="G195" s="15"/>
    </row>
    <row r="196" spans="4:7" x14ac:dyDescent="0.25">
      <c r="D196"/>
      <c r="G196" s="15"/>
    </row>
    <row r="197" spans="4:7" x14ac:dyDescent="0.25">
      <c r="D197"/>
      <c r="G197" s="15"/>
    </row>
    <row r="198" spans="4:7" x14ac:dyDescent="0.25">
      <c r="D198"/>
      <c r="G198" s="15"/>
    </row>
    <row r="199" spans="4:7" x14ac:dyDescent="0.25">
      <c r="D199"/>
      <c r="G199" s="15"/>
    </row>
    <row r="200" spans="4:7" x14ac:dyDescent="0.25">
      <c r="D200"/>
      <c r="G200" s="15"/>
    </row>
    <row r="201" spans="4:7" x14ac:dyDescent="0.25">
      <c r="D201"/>
      <c r="G201" s="15"/>
    </row>
    <row r="202" spans="4:7" x14ac:dyDescent="0.25">
      <c r="D202"/>
      <c r="G202" s="15"/>
    </row>
    <row r="203" spans="4:7" x14ac:dyDescent="0.25">
      <c r="D203"/>
      <c r="G203" s="15"/>
    </row>
    <row r="204" spans="4:7" x14ac:dyDescent="0.25">
      <c r="D204"/>
      <c r="G204" s="15"/>
    </row>
    <row r="205" spans="4:7" x14ac:dyDescent="0.25">
      <c r="D205"/>
      <c r="G205" s="15"/>
    </row>
    <row r="206" spans="4:7" x14ac:dyDescent="0.25">
      <c r="D206"/>
      <c r="G206" s="15"/>
    </row>
    <row r="207" spans="4:7" x14ac:dyDescent="0.25">
      <c r="D207"/>
      <c r="G207" s="15"/>
    </row>
    <row r="208" spans="4:7" x14ac:dyDescent="0.25">
      <c r="D208"/>
      <c r="G208" s="15"/>
    </row>
    <row r="209" spans="4:7" x14ac:dyDescent="0.25">
      <c r="D209"/>
      <c r="G209" s="15"/>
    </row>
    <row r="210" spans="4:7" x14ac:dyDescent="0.25">
      <c r="D210"/>
      <c r="G210" s="15"/>
    </row>
    <row r="211" spans="4:7" x14ac:dyDescent="0.25">
      <c r="D211"/>
      <c r="G211" s="15"/>
    </row>
    <row r="212" spans="4:7" x14ac:dyDescent="0.25">
      <c r="D212"/>
      <c r="G212" s="15"/>
    </row>
    <row r="213" spans="4:7" x14ac:dyDescent="0.25">
      <c r="D213"/>
      <c r="G213" s="15"/>
    </row>
    <row r="214" spans="4:7" x14ac:dyDescent="0.25">
      <c r="D214"/>
      <c r="G214" s="15"/>
    </row>
    <row r="215" spans="4:7" x14ac:dyDescent="0.25">
      <c r="D215"/>
      <c r="G215" s="15"/>
    </row>
    <row r="216" spans="4:7" x14ac:dyDescent="0.25">
      <c r="D216"/>
      <c r="G216" s="15"/>
    </row>
    <row r="217" spans="4:7" x14ac:dyDescent="0.25">
      <c r="D217"/>
      <c r="G217" s="15"/>
    </row>
    <row r="218" spans="4:7" x14ac:dyDescent="0.25">
      <c r="D218"/>
      <c r="G218" s="15"/>
    </row>
    <row r="219" spans="4:7" x14ac:dyDescent="0.25">
      <c r="D219"/>
      <c r="G219" s="15"/>
    </row>
    <row r="220" spans="4:7" x14ac:dyDescent="0.25">
      <c r="D220"/>
      <c r="G220" s="15"/>
    </row>
    <row r="221" spans="4:7" x14ac:dyDescent="0.25">
      <c r="D221"/>
      <c r="G221" s="15"/>
    </row>
    <row r="222" spans="4:7" x14ac:dyDescent="0.25">
      <c r="D222"/>
      <c r="G222" s="15"/>
    </row>
    <row r="223" spans="4:7" x14ac:dyDescent="0.25">
      <c r="D223"/>
      <c r="G223" s="15"/>
    </row>
    <row r="224" spans="4:7" x14ac:dyDescent="0.25">
      <c r="D224"/>
      <c r="G224" s="15"/>
    </row>
    <row r="225" spans="4:7" x14ac:dyDescent="0.25">
      <c r="D225"/>
      <c r="G225" s="15"/>
    </row>
    <row r="226" spans="4:7" x14ac:dyDescent="0.25">
      <c r="D226"/>
      <c r="G226" s="15"/>
    </row>
    <row r="227" spans="4:7" x14ac:dyDescent="0.25">
      <c r="D227"/>
      <c r="G227" s="15"/>
    </row>
    <row r="228" spans="4:7" x14ac:dyDescent="0.25">
      <c r="D228"/>
      <c r="G228" s="15"/>
    </row>
    <row r="229" spans="4:7" x14ac:dyDescent="0.25">
      <c r="D229"/>
      <c r="G229" s="15"/>
    </row>
    <row r="230" spans="4:7" x14ac:dyDescent="0.25">
      <c r="D230"/>
      <c r="G230" s="15"/>
    </row>
    <row r="231" spans="4:7" x14ac:dyDescent="0.25">
      <c r="D231"/>
      <c r="G231" s="15"/>
    </row>
    <row r="232" spans="4:7" x14ac:dyDescent="0.25">
      <c r="D232"/>
      <c r="G232" s="15"/>
    </row>
    <row r="233" spans="4:7" x14ac:dyDescent="0.25">
      <c r="D233"/>
      <c r="G233" s="15"/>
    </row>
    <row r="234" spans="4:7" x14ac:dyDescent="0.25">
      <c r="D234"/>
      <c r="G234" s="15"/>
    </row>
    <row r="235" spans="4:7" x14ac:dyDescent="0.25">
      <c r="D235"/>
      <c r="G235" s="15"/>
    </row>
    <row r="236" spans="4:7" x14ac:dyDescent="0.25">
      <c r="D236"/>
      <c r="G236" s="15"/>
    </row>
    <row r="237" spans="4:7" x14ac:dyDescent="0.25">
      <c r="D237"/>
      <c r="G237" s="15"/>
    </row>
    <row r="238" spans="4:7" x14ac:dyDescent="0.25">
      <c r="D238"/>
      <c r="G238" s="15"/>
    </row>
    <row r="239" spans="4:7" x14ac:dyDescent="0.25">
      <c r="D239"/>
      <c r="G239" s="15"/>
    </row>
    <row r="240" spans="4:7" x14ac:dyDescent="0.25">
      <c r="D240"/>
      <c r="G240" s="15"/>
    </row>
    <row r="241" spans="4:7" x14ac:dyDescent="0.25">
      <c r="D241"/>
      <c r="G241" s="15"/>
    </row>
    <row r="242" spans="4:7" x14ac:dyDescent="0.25">
      <c r="D242"/>
      <c r="G242" s="15"/>
    </row>
    <row r="243" spans="4:7" x14ac:dyDescent="0.25">
      <c r="D243"/>
      <c r="G243" s="15"/>
    </row>
    <row r="244" spans="4:7" x14ac:dyDescent="0.25">
      <c r="D244"/>
      <c r="G244" s="15"/>
    </row>
    <row r="245" spans="4:7" x14ac:dyDescent="0.25">
      <c r="D245"/>
      <c r="G245" s="15"/>
    </row>
    <row r="246" spans="4:7" x14ac:dyDescent="0.25">
      <c r="D246"/>
      <c r="G246" s="15"/>
    </row>
    <row r="247" spans="4:7" x14ac:dyDescent="0.25">
      <c r="D247"/>
      <c r="G247" s="15"/>
    </row>
    <row r="248" spans="4:7" x14ac:dyDescent="0.25">
      <c r="D248"/>
      <c r="G248" s="15"/>
    </row>
    <row r="249" spans="4:7" x14ac:dyDescent="0.25">
      <c r="D249"/>
      <c r="G249" s="15"/>
    </row>
    <row r="250" spans="4:7" x14ac:dyDescent="0.25">
      <c r="D250"/>
      <c r="G250" s="15"/>
    </row>
    <row r="251" spans="4:7" x14ac:dyDescent="0.25">
      <c r="D251"/>
      <c r="G251" s="15"/>
    </row>
    <row r="252" spans="4:7" x14ac:dyDescent="0.25">
      <c r="D252"/>
      <c r="G252" s="15"/>
    </row>
    <row r="253" spans="4:7" x14ac:dyDescent="0.25">
      <c r="D253"/>
      <c r="G253" s="15"/>
    </row>
    <row r="254" spans="4:7" x14ac:dyDescent="0.25">
      <c r="D254"/>
      <c r="G254" s="15"/>
    </row>
    <row r="255" spans="4:7" x14ac:dyDescent="0.25">
      <c r="D255"/>
      <c r="G255" s="15"/>
    </row>
    <row r="256" spans="4:7" x14ac:dyDescent="0.25">
      <c r="D256"/>
      <c r="G256" s="15"/>
    </row>
    <row r="257" spans="4:7" x14ac:dyDescent="0.25">
      <c r="D257"/>
      <c r="G257" s="15"/>
    </row>
    <row r="258" spans="4:7" x14ac:dyDescent="0.25">
      <c r="D258"/>
      <c r="G258" s="15"/>
    </row>
    <row r="259" spans="4:7" x14ac:dyDescent="0.25">
      <c r="D259"/>
      <c r="G259" s="15"/>
    </row>
    <row r="260" spans="4:7" x14ac:dyDescent="0.25">
      <c r="D260"/>
      <c r="G260" s="15"/>
    </row>
    <row r="261" spans="4:7" x14ac:dyDescent="0.25">
      <c r="D261"/>
      <c r="G261" s="15"/>
    </row>
    <row r="262" spans="4:7" x14ac:dyDescent="0.25">
      <c r="D262"/>
      <c r="G262" s="15"/>
    </row>
    <row r="263" spans="4:7" x14ac:dyDescent="0.25">
      <c r="D263"/>
      <c r="G263" s="15"/>
    </row>
    <row r="264" spans="4:7" x14ac:dyDescent="0.25">
      <c r="D264"/>
      <c r="G264" s="15"/>
    </row>
    <row r="265" spans="4:7" x14ac:dyDescent="0.25">
      <c r="D265"/>
      <c r="G265" s="15"/>
    </row>
    <row r="266" spans="4:7" x14ac:dyDescent="0.25">
      <c r="D266"/>
      <c r="G266" s="15"/>
    </row>
    <row r="267" spans="4:7" x14ac:dyDescent="0.25">
      <c r="D267"/>
      <c r="G267" s="15"/>
    </row>
    <row r="268" spans="4:7" x14ac:dyDescent="0.25">
      <c r="D268"/>
      <c r="G268" s="15"/>
    </row>
    <row r="269" spans="4:7" x14ac:dyDescent="0.25">
      <c r="D269"/>
      <c r="G269" s="15"/>
    </row>
    <row r="270" spans="4:7" x14ac:dyDescent="0.25">
      <c r="D270"/>
      <c r="G270" s="15"/>
    </row>
    <row r="271" spans="4:7" x14ac:dyDescent="0.25">
      <c r="D271"/>
      <c r="G271" s="15"/>
    </row>
    <row r="272" spans="4:7" x14ac:dyDescent="0.25">
      <c r="D272"/>
      <c r="G272" s="15"/>
    </row>
    <row r="273" spans="4:7" x14ac:dyDescent="0.25">
      <c r="D273"/>
      <c r="G273" s="15"/>
    </row>
    <row r="274" spans="4:7" x14ac:dyDescent="0.25">
      <c r="D274"/>
      <c r="G274" s="15"/>
    </row>
    <row r="275" spans="4:7" x14ac:dyDescent="0.25">
      <c r="D275"/>
      <c r="G275" s="15"/>
    </row>
    <row r="276" spans="4:7" x14ac:dyDescent="0.25">
      <c r="D276"/>
      <c r="G276" s="15"/>
    </row>
    <row r="277" spans="4:7" x14ac:dyDescent="0.25">
      <c r="D277"/>
      <c r="G277" s="15"/>
    </row>
    <row r="278" spans="4:7" x14ac:dyDescent="0.25">
      <c r="D278"/>
      <c r="G278" s="15"/>
    </row>
    <row r="279" spans="4:7" x14ac:dyDescent="0.25">
      <c r="D279"/>
      <c r="G279" s="15"/>
    </row>
    <row r="280" spans="4:7" x14ac:dyDescent="0.25">
      <c r="D280"/>
      <c r="G280" s="15"/>
    </row>
    <row r="281" spans="4:7" x14ac:dyDescent="0.25">
      <c r="D281"/>
      <c r="G281" s="15"/>
    </row>
    <row r="282" spans="4:7" x14ac:dyDescent="0.25">
      <c r="D282"/>
      <c r="G282" s="15"/>
    </row>
    <row r="283" spans="4:7" x14ac:dyDescent="0.25">
      <c r="D283"/>
      <c r="G283" s="15"/>
    </row>
    <row r="284" spans="4:7" x14ac:dyDescent="0.25">
      <c r="D284"/>
      <c r="G284" s="15"/>
    </row>
    <row r="285" spans="4:7" x14ac:dyDescent="0.25">
      <c r="D285"/>
      <c r="G285" s="15"/>
    </row>
    <row r="286" spans="4:7" x14ac:dyDescent="0.25">
      <c r="D286"/>
      <c r="G286" s="15"/>
    </row>
    <row r="287" spans="4:7" x14ac:dyDescent="0.25">
      <c r="D287"/>
      <c r="G287" s="15"/>
    </row>
    <row r="288" spans="4:7" x14ac:dyDescent="0.25">
      <c r="D288"/>
      <c r="G288" s="15"/>
    </row>
    <row r="289" spans="4:7" x14ac:dyDescent="0.25">
      <c r="D289"/>
      <c r="G289" s="15"/>
    </row>
    <row r="290" spans="4:7" x14ac:dyDescent="0.25">
      <c r="D290"/>
      <c r="G290" s="15"/>
    </row>
    <row r="291" spans="4:7" x14ac:dyDescent="0.25">
      <c r="D291"/>
      <c r="G291" s="15"/>
    </row>
    <row r="292" spans="4:7" x14ac:dyDescent="0.25">
      <c r="D292"/>
      <c r="G292" s="15"/>
    </row>
    <row r="293" spans="4:7" x14ac:dyDescent="0.25">
      <c r="D293"/>
      <c r="G293" s="15"/>
    </row>
    <row r="294" spans="4:7" x14ac:dyDescent="0.25">
      <c r="D294"/>
      <c r="G294" s="15"/>
    </row>
    <row r="295" spans="4:7" x14ac:dyDescent="0.25">
      <c r="D295"/>
      <c r="G295" s="15"/>
    </row>
    <row r="296" spans="4:7" x14ac:dyDescent="0.25">
      <c r="D296"/>
      <c r="G296" s="15"/>
    </row>
    <row r="297" spans="4:7" x14ac:dyDescent="0.25">
      <c r="D297"/>
      <c r="G297" s="15"/>
    </row>
    <row r="298" spans="4:7" x14ac:dyDescent="0.25">
      <c r="D298"/>
      <c r="G298" s="15"/>
    </row>
    <row r="299" spans="4:7" x14ac:dyDescent="0.25">
      <c r="D299"/>
      <c r="G299" s="15"/>
    </row>
    <row r="300" spans="4:7" x14ac:dyDescent="0.25">
      <c r="D300"/>
      <c r="G300" s="15"/>
    </row>
    <row r="301" spans="4:7" x14ac:dyDescent="0.25">
      <c r="D301"/>
      <c r="G301" s="15"/>
    </row>
    <row r="302" spans="4:7" x14ac:dyDescent="0.25">
      <c r="D302"/>
      <c r="G302" s="15"/>
    </row>
    <row r="303" spans="4:7" x14ac:dyDescent="0.25">
      <c r="D303"/>
      <c r="G303" s="15"/>
    </row>
    <row r="304" spans="4:7" x14ac:dyDescent="0.25">
      <c r="D304"/>
      <c r="G304" s="15"/>
    </row>
    <row r="305" spans="4:7" x14ac:dyDescent="0.25">
      <c r="D305"/>
      <c r="G305" s="15"/>
    </row>
    <row r="306" spans="4:7" x14ac:dyDescent="0.25">
      <c r="D306"/>
      <c r="G306" s="15"/>
    </row>
    <row r="307" spans="4:7" x14ac:dyDescent="0.25">
      <c r="D307"/>
      <c r="G307" s="15"/>
    </row>
    <row r="308" spans="4:7" x14ac:dyDescent="0.25">
      <c r="D308"/>
      <c r="G308" s="15"/>
    </row>
    <row r="309" spans="4:7" x14ac:dyDescent="0.25">
      <c r="D309"/>
      <c r="G309" s="15"/>
    </row>
    <row r="310" spans="4:7" x14ac:dyDescent="0.25">
      <c r="D310"/>
      <c r="G310" s="15"/>
    </row>
    <row r="311" spans="4:7" x14ac:dyDescent="0.25">
      <c r="D311"/>
      <c r="G311" s="15"/>
    </row>
    <row r="312" spans="4:7" x14ac:dyDescent="0.25">
      <c r="D312"/>
      <c r="G312" s="15"/>
    </row>
    <row r="313" spans="4:7" x14ac:dyDescent="0.25">
      <c r="D313"/>
      <c r="G313" s="15"/>
    </row>
    <row r="314" spans="4:7" x14ac:dyDescent="0.25">
      <c r="D314"/>
      <c r="G314" s="15"/>
    </row>
    <row r="315" spans="4:7" x14ac:dyDescent="0.25">
      <c r="D315"/>
      <c r="G315" s="15"/>
    </row>
    <row r="316" spans="4:7" x14ac:dyDescent="0.25">
      <c r="D316"/>
      <c r="G316" s="15"/>
    </row>
    <row r="317" spans="4:7" x14ac:dyDescent="0.25">
      <c r="D317"/>
      <c r="G317" s="15"/>
    </row>
    <row r="318" spans="4:7" x14ac:dyDescent="0.25">
      <c r="D318"/>
      <c r="G318" s="15"/>
    </row>
    <row r="319" spans="4:7" x14ac:dyDescent="0.25">
      <c r="D319"/>
      <c r="G319" s="15"/>
    </row>
    <row r="320" spans="4:7" x14ac:dyDescent="0.25">
      <c r="D320"/>
      <c r="G320" s="15"/>
    </row>
    <row r="321" spans="4:7" x14ac:dyDescent="0.25">
      <c r="D321"/>
      <c r="G321" s="15"/>
    </row>
    <row r="322" spans="4:7" x14ac:dyDescent="0.25">
      <c r="D322"/>
      <c r="G322" s="15"/>
    </row>
    <row r="323" spans="4:7" x14ac:dyDescent="0.25">
      <c r="D323"/>
      <c r="G323" s="15"/>
    </row>
    <row r="324" spans="4:7" x14ac:dyDescent="0.25">
      <c r="D324"/>
      <c r="G324" s="15"/>
    </row>
    <row r="325" spans="4:7" x14ac:dyDescent="0.25">
      <c r="D325"/>
      <c r="G325" s="15"/>
    </row>
    <row r="326" spans="4:7" x14ac:dyDescent="0.25">
      <c r="D326"/>
      <c r="G326" s="15"/>
    </row>
    <row r="327" spans="4:7" x14ac:dyDescent="0.25">
      <c r="D327"/>
      <c r="G327" s="15"/>
    </row>
    <row r="328" spans="4:7" x14ac:dyDescent="0.25">
      <c r="D328"/>
      <c r="G328" s="15"/>
    </row>
    <row r="329" spans="4:7" x14ac:dyDescent="0.25">
      <c r="D329"/>
      <c r="G329" s="15"/>
    </row>
    <row r="330" spans="4:7" x14ac:dyDescent="0.25">
      <c r="D330"/>
      <c r="G330" s="15"/>
    </row>
    <row r="331" spans="4:7" x14ac:dyDescent="0.25">
      <c r="D331"/>
      <c r="G331" s="15"/>
    </row>
    <row r="332" spans="4:7" x14ac:dyDescent="0.25">
      <c r="D332"/>
      <c r="G332" s="15"/>
    </row>
    <row r="333" spans="4:7" x14ac:dyDescent="0.25">
      <c r="D333"/>
      <c r="G333" s="15"/>
    </row>
    <row r="334" spans="4:7" x14ac:dyDescent="0.25">
      <c r="D334"/>
      <c r="G334" s="15"/>
    </row>
    <row r="335" spans="4:7" x14ac:dyDescent="0.25">
      <c r="D335"/>
      <c r="G335" s="15"/>
    </row>
    <row r="336" spans="4:7" x14ac:dyDescent="0.25">
      <c r="D336"/>
      <c r="G336" s="15"/>
    </row>
    <row r="337" spans="4:7" x14ac:dyDescent="0.25">
      <c r="D337"/>
      <c r="G337" s="15"/>
    </row>
    <row r="338" spans="4:7" x14ac:dyDescent="0.25">
      <c r="D338"/>
      <c r="G338" s="15"/>
    </row>
    <row r="339" spans="4:7" x14ac:dyDescent="0.25">
      <c r="D339"/>
      <c r="G339" s="15"/>
    </row>
    <row r="340" spans="4:7" x14ac:dyDescent="0.25">
      <c r="D340"/>
      <c r="G340" s="15"/>
    </row>
    <row r="341" spans="4:7" x14ac:dyDescent="0.25">
      <c r="D341"/>
      <c r="G341" s="15"/>
    </row>
    <row r="342" spans="4:7" x14ac:dyDescent="0.25">
      <c r="D342"/>
      <c r="G342" s="15"/>
    </row>
    <row r="343" spans="4:7" x14ac:dyDescent="0.25">
      <c r="D343"/>
      <c r="G343" s="15"/>
    </row>
    <row r="344" spans="4:7" x14ac:dyDescent="0.25">
      <c r="D344"/>
      <c r="G344" s="15"/>
    </row>
    <row r="345" spans="4:7" x14ac:dyDescent="0.25">
      <c r="D345"/>
      <c r="G345" s="15"/>
    </row>
    <row r="346" spans="4:7" x14ac:dyDescent="0.25">
      <c r="D346"/>
      <c r="G346" s="15"/>
    </row>
    <row r="347" spans="4:7" x14ac:dyDescent="0.25">
      <c r="D347"/>
      <c r="G347" s="15"/>
    </row>
    <row r="348" spans="4:7" x14ac:dyDescent="0.25">
      <c r="D348"/>
      <c r="G348" s="15"/>
    </row>
    <row r="349" spans="4:7" x14ac:dyDescent="0.25">
      <c r="D349"/>
      <c r="G349" s="15"/>
    </row>
    <row r="350" spans="4:7" x14ac:dyDescent="0.25">
      <c r="D350"/>
      <c r="G350" s="15"/>
    </row>
    <row r="351" spans="4:7" x14ac:dyDescent="0.25">
      <c r="D351"/>
      <c r="G351" s="15"/>
    </row>
    <row r="352" spans="4:7" x14ac:dyDescent="0.25">
      <c r="D352"/>
      <c r="G352" s="15"/>
    </row>
    <row r="353" spans="4:7" x14ac:dyDescent="0.25">
      <c r="D353"/>
      <c r="G353" s="15"/>
    </row>
    <row r="354" spans="4:7" x14ac:dyDescent="0.25">
      <c r="D354"/>
      <c r="G354" s="15"/>
    </row>
    <row r="355" spans="4:7" x14ac:dyDescent="0.25">
      <c r="D355"/>
      <c r="G355" s="15"/>
    </row>
    <row r="356" spans="4:7" x14ac:dyDescent="0.25">
      <c r="D356"/>
      <c r="G356" s="15"/>
    </row>
    <row r="357" spans="4:7" x14ac:dyDescent="0.25">
      <c r="D357"/>
      <c r="G357" s="15"/>
    </row>
    <row r="358" spans="4:7" x14ac:dyDescent="0.25">
      <c r="D358"/>
      <c r="G358" s="15"/>
    </row>
    <row r="359" spans="4:7" x14ac:dyDescent="0.25">
      <c r="D359"/>
      <c r="G359" s="15"/>
    </row>
    <row r="360" spans="4:7" x14ac:dyDescent="0.25">
      <c r="D360"/>
      <c r="G360" s="15"/>
    </row>
    <row r="361" spans="4:7" x14ac:dyDescent="0.25">
      <c r="D361"/>
      <c r="G361" s="15"/>
    </row>
    <row r="362" spans="4:7" x14ac:dyDescent="0.25">
      <c r="D362"/>
      <c r="G362" s="15"/>
    </row>
    <row r="363" spans="4:7" x14ac:dyDescent="0.25">
      <c r="D363"/>
      <c r="G363" s="15"/>
    </row>
    <row r="364" spans="4:7" x14ac:dyDescent="0.25">
      <c r="D364"/>
      <c r="G364" s="15"/>
    </row>
    <row r="365" spans="4:7" x14ac:dyDescent="0.25">
      <c r="D365"/>
      <c r="G365" s="15"/>
    </row>
    <row r="366" spans="4:7" x14ac:dyDescent="0.25">
      <c r="D366"/>
      <c r="G366" s="15"/>
    </row>
    <row r="367" spans="4:7" x14ac:dyDescent="0.25">
      <c r="D367"/>
      <c r="G367" s="15"/>
    </row>
    <row r="368" spans="4:7" x14ac:dyDescent="0.25">
      <c r="D368"/>
      <c r="G368" s="15"/>
    </row>
    <row r="369" spans="4:7" x14ac:dyDescent="0.25">
      <c r="D369"/>
      <c r="G369" s="15"/>
    </row>
    <row r="370" spans="4:7" x14ac:dyDescent="0.25">
      <c r="D370"/>
      <c r="G370" s="15"/>
    </row>
    <row r="371" spans="4:7" x14ac:dyDescent="0.25">
      <c r="D371"/>
      <c r="G371" s="15"/>
    </row>
    <row r="372" spans="4:7" x14ac:dyDescent="0.25">
      <c r="D372"/>
      <c r="G372" s="15"/>
    </row>
    <row r="373" spans="4:7" x14ac:dyDescent="0.25">
      <c r="D373"/>
      <c r="G373" s="15"/>
    </row>
    <row r="374" spans="4:7" x14ac:dyDescent="0.25">
      <c r="D374"/>
      <c r="G374" s="15"/>
    </row>
    <row r="375" spans="4:7" x14ac:dyDescent="0.25">
      <c r="D375"/>
      <c r="G375" s="15"/>
    </row>
    <row r="376" spans="4:7" x14ac:dyDescent="0.25">
      <c r="D376"/>
      <c r="G376" s="15"/>
    </row>
    <row r="377" spans="4:7" x14ac:dyDescent="0.25">
      <c r="D377"/>
      <c r="G377" s="15"/>
    </row>
    <row r="378" spans="4:7" x14ac:dyDescent="0.25">
      <c r="D378"/>
      <c r="G378" s="15"/>
    </row>
    <row r="379" spans="4:7" x14ac:dyDescent="0.25">
      <c r="D379"/>
      <c r="G379" s="15"/>
    </row>
    <row r="380" spans="4:7" x14ac:dyDescent="0.25">
      <c r="D380"/>
      <c r="G380" s="15"/>
    </row>
    <row r="381" spans="4:7" x14ac:dyDescent="0.25">
      <c r="D381"/>
      <c r="G381" s="15"/>
    </row>
    <row r="382" spans="4:7" x14ac:dyDescent="0.25">
      <c r="D382"/>
      <c r="G382" s="15"/>
    </row>
    <row r="383" spans="4:7" x14ac:dyDescent="0.25">
      <c r="D383"/>
      <c r="G383" s="15"/>
    </row>
    <row r="384" spans="4:7" x14ac:dyDescent="0.25">
      <c r="D384"/>
      <c r="G384" s="15"/>
    </row>
    <row r="385" spans="4:7" x14ac:dyDescent="0.25">
      <c r="D385"/>
      <c r="G385" s="15"/>
    </row>
    <row r="386" spans="4:7" x14ac:dyDescent="0.25">
      <c r="D386"/>
      <c r="G386" s="15"/>
    </row>
    <row r="387" spans="4:7" x14ac:dyDescent="0.25">
      <c r="D387"/>
      <c r="G387" s="15"/>
    </row>
    <row r="388" spans="4:7" x14ac:dyDescent="0.25">
      <c r="D388"/>
      <c r="G388" s="15"/>
    </row>
    <row r="389" spans="4:7" x14ac:dyDescent="0.25">
      <c r="D389"/>
      <c r="G389" s="15"/>
    </row>
    <row r="390" spans="4:7" x14ac:dyDescent="0.25">
      <c r="D390"/>
      <c r="G390" s="15"/>
    </row>
    <row r="391" spans="4:7" x14ac:dyDescent="0.25">
      <c r="D391"/>
      <c r="G391" s="15"/>
    </row>
    <row r="392" spans="4:7" x14ac:dyDescent="0.25">
      <c r="D392"/>
      <c r="G392" s="15"/>
    </row>
    <row r="393" spans="4:7" x14ac:dyDescent="0.25">
      <c r="D393"/>
      <c r="G393" s="15"/>
    </row>
    <row r="394" spans="4:7" x14ac:dyDescent="0.25">
      <c r="D394"/>
      <c r="G394" s="15"/>
    </row>
    <row r="395" spans="4:7" x14ac:dyDescent="0.25">
      <c r="D395"/>
      <c r="G395" s="15"/>
    </row>
    <row r="396" spans="4:7" x14ac:dyDescent="0.25">
      <c r="D396"/>
      <c r="G396" s="15"/>
    </row>
    <row r="397" spans="4:7" x14ac:dyDescent="0.25">
      <c r="D397"/>
      <c r="G397" s="15"/>
    </row>
    <row r="398" spans="4:7" x14ac:dyDescent="0.25">
      <c r="D398"/>
      <c r="G398" s="15"/>
    </row>
    <row r="399" spans="4:7" x14ac:dyDescent="0.25">
      <c r="D399"/>
      <c r="G399" s="15"/>
    </row>
    <row r="400" spans="4:7" x14ac:dyDescent="0.25">
      <c r="D400"/>
      <c r="G400" s="15"/>
    </row>
    <row r="401" spans="4:7" x14ac:dyDescent="0.25">
      <c r="D401"/>
      <c r="G401" s="15"/>
    </row>
    <row r="402" spans="4:7" x14ac:dyDescent="0.25">
      <c r="D402"/>
      <c r="G402" s="15"/>
    </row>
    <row r="403" spans="4:7" x14ac:dyDescent="0.25">
      <c r="D403"/>
      <c r="G403" s="15"/>
    </row>
    <row r="404" spans="4:7" x14ac:dyDescent="0.25">
      <c r="D404"/>
      <c r="G404" s="15"/>
    </row>
    <row r="405" spans="4:7" x14ac:dyDescent="0.25">
      <c r="D405"/>
      <c r="G405" s="15"/>
    </row>
    <row r="406" spans="4:7" x14ac:dyDescent="0.25">
      <c r="D406"/>
      <c r="G406" s="15"/>
    </row>
    <row r="407" spans="4:7" x14ac:dyDescent="0.25">
      <c r="D407"/>
      <c r="G407" s="15"/>
    </row>
    <row r="408" spans="4:7" x14ac:dyDescent="0.25">
      <c r="D408"/>
      <c r="G408" s="15"/>
    </row>
    <row r="409" spans="4:7" x14ac:dyDescent="0.25">
      <c r="D409"/>
      <c r="G409" s="15"/>
    </row>
    <row r="410" spans="4:7" x14ac:dyDescent="0.25">
      <c r="D410"/>
      <c r="G410" s="15"/>
    </row>
    <row r="411" spans="4:7" x14ac:dyDescent="0.25">
      <c r="D411"/>
      <c r="G411" s="15"/>
    </row>
    <row r="412" spans="4:7" x14ac:dyDescent="0.25">
      <c r="D412"/>
      <c r="G412" s="15"/>
    </row>
    <row r="413" spans="4:7" x14ac:dyDescent="0.25">
      <c r="D413"/>
      <c r="G413" s="15"/>
    </row>
    <row r="414" spans="4:7" x14ac:dyDescent="0.25">
      <c r="D414"/>
      <c r="G414" s="15"/>
    </row>
    <row r="415" spans="4:7" x14ac:dyDescent="0.25">
      <c r="D415"/>
      <c r="G415" s="15"/>
    </row>
    <row r="416" spans="4:7" x14ac:dyDescent="0.25">
      <c r="D416"/>
      <c r="G416" s="15"/>
    </row>
    <row r="417" spans="4:7" x14ac:dyDescent="0.25">
      <c r="D417"/>
      <c r="G417" s="15"/>
    </row>
    <row r="418" spans="4:7" x14ac:dyDescent="0.25">
      <c r="D418"/>
      <c r="G418" s="15"/>
    </row>
    <row r="419" spans="4:7" x14ac:dyDescent="0.25">
      <c r="D419"/>
      <c r="G419" s="15"/>
    </row>
    <row r="420" spans="4:7" x14ac:dyDescent="0.25">
      <c r="D420"/>
      <c r="G420" s="15"/>
    </row>
    <row r="421" spans="4:7" x14ac:dyDescent="0.25">
      <c r="D421"/>
      <c r="G421" s="15"/>
    </row>
    <row r="422" spans="4:7" x14ac:dyDescent="0.25">
      <c r="D422"/>
      <c r="G422" s="15"/>
    </row>
    <row r="423" spans="4:7" x14ac:dyDescent="0.25">
      <c r="D423"/>
      <c r="G423" s="15"/>
    </row>
    <row r="424" spans="4:7" x14ac:dyDescent="0.25">
      <c r="D424"/>
      <c r="G424" s="15"/>
    </row>
    <row r="425" spans="4:7" x14ac:dyDescent="0.25">
      <c r="D425"/>
      <c r="G425" s="15"/>
    </row>
    <row r="426" spans="4:7" x14ac:dyDescent="0.25">
      <c r="D426"/>
      <c r="G426" s="15"/>
    </row>
    <row r="427" spans="4:7" x14ac:dyDescent="0.25">
      <c r="D427"/>
      <c r="G427" s="15"/>
    </row>
    <row r="428" spans="4:7" x14ac:dyDescent="0.25">
      <c r="D428"/>
      <c r="G428" s="15"/>
    </row>
    <row r="429" spans="4:7" x14ac:dyDescent="0.25">
      <c r="D429"/>
      <c r="G429" s="15"/>
    </row>
    <row r="430" spans="4:7" x14ac:dyDescent="0.25">
      <c r="D430"/>
      <c r="G430" s="15"/>
    </row>
    <row r="431" spans="4:7" x14ac:dyDescent="0.25">
      <c r="D431"/>
      <c r="G431" s="15"/>
    </row>
    <row r="432" spans="4:7" x14ac:dyDescent="0.25">
      <c r="D432"/>
      <c r="G432" s="15"/>
    </row>
    <row r="433" spans="4:7" x14ac:dyDescent="0.25">
      <c r="D433"/>
      <c r="G433" s="15"/>
    </row>
    <row r="434" spans="4:7" x14ac:dyDescent="0.25">
      <c r="D434"/>
      <c r="G434" s="15"/>
    </row>
    <row r="435" spans="4:7" x14ac:dyDescent="0.25">
      <c r="D435"/>
      <c r="G435" s="15"/>
    </row>
    <row r="436" spans="4:7" x14ac:dyDescent="0.25">
      <c r="D436"/>
      <c r="G436" s="15"/>
    </row>
    <row r="437" spans="4:7" x14ac:dyDescent="0.25">
      <c r="D437"/>
      <c r="G437" s="15"/>
    </row>
    <row r="438" spans="4:7" x14ac:dyDescent="0.25">
      <c r="D438"/>
      <c r="G438" s="15"/>
    </row>
    <row r="439" spans="4:7" x14ac:dyDescent="0.25">
      <c r="D439"/>
      <c r="G439" s="15"/>
    </row>
    <row r="440" spans="4:7" x14ac:dyDescent="0.25">
      <c r="D440"/>
      <c r="G440" s="15"/>
    </row>
    <row r="441" spans="4:7" x14ac:dyDescent="0.25">
      <c r="D441"/>
      <c r="G441" s="15"/>
    </row>
    <row r="442" spans="4:7" x14ac:dyDescent="0.25">
      <c r="D442"/>
      <c r="G442" s="15"/>
    </row>
    <row r="443" spans="4:7" x14ac:dyDescent="0.25">
      <c r="D443"/>
      <c r="G443" s="15"/>
    </row>
    <row r="444" spans="4:7" x14ac:dyDescent="0.25">
      <c r="D444"/>
      <c r="G444" s="15"/>
    </row>
    <row r="445" spans="4:7" x14ac:dyDescent="0.25">
      <c r="D445"/>
      <c r="G445" s="15"/>
    </row>
    <row r="446" spans="4:7" x14ac:dyDescent="0.25">
      <c r="D446"/>
      <c r="G446" s="15"/>
    </row>
    <row r="447" spans="4:7" x14ac:dyDescent="0.25">
      <c r="D447"/>
      <c r="G447" s="15"/>
    </row>
    <row r="448" spans="4:7" x14ac:dyDescent="0.25">
      <c r="D448"/>
      <c r="G448" s="15"/>
    </row>
    <row r="449" spans="4:7" x14ac:dyDescent="0.25">
      <c r="D449"/>
      <c r="G449" s="15"/>
    </row>
    <row r="450" spans="4:7" x14ac:dyDescent="0.25">
      <c r="D450"/>
      <c r="G450" s="15"/>
    </row>
    <row r="451" spans="4:7" x14ac:dyDescent="0.25">
      <c r="D451"/>
      <c r="G451" s="15"/>
    </row>
    <row r="452" spans="4:7" x14ac:dyDescent="0.25">
      <c r="D452"/>
      <c r="G452" s="15"/>
    </row>
    <row r="453" spans="4:7" x14ac:dyDescent="0.25">
      <c r="D453"/>
      <c r="G453" s="15"/>
    </row>
    <row r="454" spans="4:7" x14ac:dyDescent="0.25">
      <c r="D454"/>
      <c r="G454" s="15"/>
    </row>
    <row r="455" spans="4:7" x14ac:dyDescent="0.25">
      <c r="D455"/>
      <c r="G455" s="15"/>
    </row>
    <row r="456" spans="4:7" x14ac:dyDescent="0.25">
      <c r="D456"/>
      <c r="G456" s="15"/>
    </row>
    <row r="457" spans="4:7" x14ac:dyDescent="0.25">
      <c r="D457"/>
      <c r="G457" s="15"/>
    </row>
    <row r="458" spans="4:7" x14ac:dyDescent="0.25">
      <c r="D458"/>
      <c r="G458" s="15"/>
    </row>
    <row r="459" spans="4:7" x14ac:dyDescent="0.25">
      <c r="D459"/>
      <c r="G459" s="15"/>
    </row>
    <row r="460" spans="4:7" x14ac:dyDescent="0.25">
      <c r="D460"/>
      <c r="G460" s="15"/>
    </row>
    <row r="461" spans="4:7" x14ac:dyDescent="0.25">
      <c r="D461"/>
      <c r="G461" s="15"/>
    </row>
    <row r="462" spans="4:7" x14ac:dyDescent="0.25">
      <c r="D462"/>
      <c r="G462" s="15"/>
    </row>
    <row r="463" spans="4:7" x14ac:dyDescent="0.25">
      <c r="D463"/>
      <c r="G463" s="15"/>
    </row>
    <row r="464" spans="4:7" x14ac:dyDescent="0.25">
      <c r="D464"/>
      <c r="G464" s="15"/>
    </row>
    <row r="465" spans="4:7" x14ac:dyDescent="0.25">
      <c r="D465"/>
      <c r="G465" s="15"/>
    </row>
    <row r="466" spans="4:7" x14ac:dyDescent="0.25">
      <c r="D466"/>
      <c r="G466" s="15"/>
    </row>
    <row r="467" spans="4:7" x14ac:dyDescent="0.25">
      <c r="D467"/>
      <c r="G467" s="15"/>
    </row>
    <row r="468" spans="4:7" x14ac:dyDescent="0.25">
      <c r="D468"/>
      <c r="G468" s="15"/>
    </row>
    <row r="469" spans="4:7" x14ac:dyDescent="0.25">
      <c r="D469"/>
      <c r="G469" s="15"/>
    </row>
    <row r="470" spans="4:7" x14ac:dyDescent="0.25">
      <c r="D470"/>
      <c r="G470" s="15"/>
    </row>
    <row r="471" spans="4:7" x14ac:dyDescent="0.25">
      <c r="D471"/>
      <c r="G471" s="15"/>
    </row>
    <row r="472" spans="4:7" x14ac:dyDescent="0.25">
      <c r="D472"/>
      <c r="G472" s="15"/>
    </row>
    <row r="473" spans="4:7" x14ac:dyDescent="0.25">
      <c r="D473"/>
      <c r="G473" s="15"/>
    </row>
    <row r="474" spans="4:7" x14ac:dyDescent="0.25">
      <c r="D474"/>
      <c r="G474" s="15"/>
    </row>
    <row r="475" spans="4:7" x14ac:dyDescent="0.25">
      <c r="D475"/>
      <c r="G475" s="15"/>
    </row>
    <row r="476" spans="4:7" x14ac:dyDescent="0.25">
      <c r="D476"/>
      <c r="G476" s="15"/>
    </row>
    <row r="477" spans="4:7" x14ac:dyDescent="0.25">
      <c r="D477"/>
      <c r="G477" s="15"/>
    </row>
    <row r="478" spans="4:7" x14ac:dyDescent="0.25">
      <c r="D478"/>
      <c r="G478" s="15"/>
    </row>
    <row r="479" spans="4:7" x14ac:dyDescent="0.25">
      <c r="D479"/>
      <c r="G479" s="15"/>
    </row>
    <row r="480" spans="4:7" x14ac:dyDescent="0.25">
      <c r="D480"/>
      <c r="G480" s="15"/>
    </row>
    <row r="481" spans="4:7" x14ac:dyDescent="0.25">
      <c r="D481"/>
      <c r="G481" s="15"/>
    </row>
    <row r="482" spans="4:7" x14ac:dyDescent="0.25">
      <c r="D482"/>
      <c r="G482" s="15"/>
    </row>
    <row r="483" spans="4:7" x14ac:dyDescent="0.25">
      <c r="D483"/>
      <c r="G483" s="15"/>
    </row>
    <row r="484" spans="4:7" x14ac:dyDescent="0.25">
      <c r="D484"/>
      <c r="G484" s="15"/>
    </row>
    <row r="485" spans="4:7" x14ac:dyDescent="0.25">
      <c r="D485"/>
      <c r="G485" s="15"/>
    </row>
    <row r="486" spans="4:7" x14ac:dyDescent="0.25">
      <c r="D486"/>
      <c r="G486" s="15"/>
    </row>
    <row r="487" spans="4:7" x14ac:dyDescent="0.25">
      <c r="D487"/>
      <c r="G487" s="15"/>
    </row>
    <row r="488" spans="4:7" x14ac:dyDescent="0.25">
      <c r="D488"/>
      <c r="G488" s="15"/>
    </row>
    <row r="489" spans="4:7" x14ac:dyDescent="0.25">
      <c r="D489"/>
      <c r="G489" s="15"/>
    </row>
    <row r="490" spans="4:7" x14ac:dyDescent="0.25">
      <c r="D490"/>
      <c r="G490" s="15"/>
    </row>
    <row r="491" spans="4:7" x14ac:dyDescent="0.25">
      <c r="D491"/>
      <c r="G491" s="15"/>
    </row>
    <row r="492" spans="4:7" x14ac:dyDescent="0.25">
      <c r="D492"/>
      <c r="G492" s="15"/>
    </row>
    <row r="493" spans="4:7" x14ac:dyDescent="0.25">
      <c r="D493"/>
      <c r="G493" s="15"/>
    </row>
    <row r="494" spans="4:7" x14ac:dyDescent="0.25">
      <c r="D494"/>
      <c r="G494" s="15"/>
    </row>
    <row r="495" spans="4:7" x14ac:dyDescent="0.25">
      <c r="D495"/>
      <c r="G495" s="15"/>
    </row>
    <row r="496" spans="4:7" x14ac:dyDescent="0.25">
      <c r="D496"/>
      <c r="G496" s="15"/>
    </row>
    <row r="497" spans="4:7" x14ac:dyDescent="0.25">
      <c r="D497"/>
      <c r="G497" s="15"/>
    </row>
    <row r="498" spans="4:7" x14ac:dyDescent="0.25">
      <c r="D498"/>
      <c r="G498" s="15"/>
    </row>
    <row r="499" spans="4:7" x14ac:dyDescent="0.25">
      <c r="G499" s="15"/>
    </row>
    <row r="500" spans="4:7" x14ac:dyDescent="0.25">
      <c r="G500" s="15"/>
    </row>
    <row r="501" spans="4:7" x14ac:dyDescent="0.25">
      <c r="G501" s="15"/>
    </row>
    <row r="502" spans="4:7" x14ac:dyDescent="0.25">
      <c r="G502" s="15"/>
    </row>
    <row r="503" spans="4:7" x14ac:dyDescent="0.25">
      <c r="G503" s="15"/>
    </row>
    <row r="504" spans="4:7" x14ac:dyDescent="0.25">
      <c r="G504" s="15"/>
    </row>
    <row r="505" spans="4:7" x14ac:dyDescent="0.25">
      <c r="G505" s="15"/>
    </row>
    <row r="506" spans="4:7" x14ac:dyDescent="0.25">
      <c r="G506" s="15"/>
    </row>
    <row r="507" spans="4:7" x14ac:dyDescent="0.25">
      <c r="G507" s="15"/>
    </row>
    <row r="508" spans="4:7" x14ac:dyDescent="0.25">
      <c r="G508" s="15"/>
    </row>
    <row r="509" spans="4:7" x14ac:dyDescent="0.25">
      <c r="G509" s="15"/>
    </row>
    <row r="510" spans="4:7" x14ac:dyDescent="0.25">
      <c r="G510" s="15"/>
    </row>
    <row r="511" spans="4:7" x14ac:dyDescent="0.25">
      <c r="G511" s="15"/>
    </row>
    <row r="512" spans="4:7" x14ac:dyDescent="0.25">
      <c r="G512" s="15"/>
    </row>
    <row r="513" spans="7:7" x14ac:dyDescent="0.25">
      <c r="G513" s="15"/>
    </row>
    <row r="514" spans="7:7" x14ac:dyDescent="0.25">
      <c r="G514" s="15"/>
    </row>
    <row r="515" spans="7:7" x14ac:dyDescent="0.25">
      <c r="G515" s="15"/>
    </row>
    <row r="516" spans="7:7" x14ac:dyDescent="0.25">
      <c r="G516" s="15"/>
    </row>
    <row r="517" spans="7:7" x14ac:dyDescent="0.25">
      <c r="G517" s="15"/>
    </row>
    <row r="518" spans="7:7" x14ac:dyDescent="0.25">
      <c r="G518" s="15"/>
    </row>
    <row r="519" spans="7:7" x14ac:dyDescent="0.25">
      <c r="G519" s="15"/>
    </row>
    <row r="520" spans="7:7" x14ac:dyDescent="0.25">
      <c r="G520" s="15"/>
    </row>
    <row r="521" spans="7:7" x14ac:dyDescent="0.25">
      <c r="G521" s="15"/>
    </row>
    <row r="522" spans="7:7" x14ac:dyDescent="0.25">
      <c r="G522" s="15"/>
    </row>
    <row r="523" spans="7:7" x14ac:dyDescent="0.25">
      <c r="G523" s="15"/>
    </row>
    <row r="524" spans="7:7" x14ac:dyDescent="0.25">
      <c r="G524" s="15"/>
    </row>
    <row r="525" spans="7:7" x14ac:dyDescent="0.25">
      <c r="G525" s="15"/>
    </row>
    <row r="526" spans="7:7" x14ac:dyDescent="0.25">
      <c r="G526" s="15"/>
    </row>
    <row r="527" spans="7:7" x14ac:dyDescent="0.25">
      <c r="G527" s="15"/>
    </row>
    <row r="528" spans="7:7" x14ac:dyDescent="0.25">
      <c r="G528" s="15"/>
    </row>
    <row r="529" spans="7:7" x14ac:dyDescent="0.25">
      <c r="G529" s="15"/>
    </row>
    <row r="530" spans="7:7" x14ac:dyDescent="0.25">
      <c r="G530" s="15"/>
    </row>
    <row r="531" spans="7:7" x14ac:dyDescent="0.25">
      <c r="G531" s="15"/>
    </row>
    <row r="532" spans="7:7" x14ac:dyDescent="0.25">
      <c r="G532" s="15"/>
    </row>
    <row r="533" spans="7:7" x14ac:dyDescent="0.25">
      <c r="G533" s="15"/>
    </row>
    <row r="534" spans="7:7" x14ac:dyDescent="0.25">
      <c r="G534" s="15"/>
    </row>
    <row r="535" spans="7:7" x14ac:dyDescent="0.25">
      <c r="G535" s="15"/>
    </row>
    <row r="536" spans="7:7" x14ac:dyDescent="0.25">
      <c r="G536" s="15"/>
    </row>
    <row r="537" spans="7:7" x14ac:dyDescent="0.25">
      <c r="G537" s="15"/>
    </row>
    <row r="538" spans="7:7" x14ac:dyDescent="0.25">
      <c r="G538" s="15"/>
    </row>
    <row r="539" spans="7:7" x14ac:dyDescent="0.25">
      <c r="G539" s="15"/>
    </row>
    <row r="540" spans="7:7" x14ac:dyDescent="0.25">
      <c r="G540" s="15"/>
    </row>
    <row r="541" spans="7:7" x14ac:dyDescent="0.25">
      <c r="G541" s="15"/>
    </row>
    <row r="542" spans="7:7" x14ac:dyDescent="0.25">
      <c r="G542" s="15"/>
    </row>
    <row r="543" spans="7:7" x14ac:dyDescent="0.25">
      <c r="G543" s="15"/>
    </row>
    <row r="544" spans="7:7" x14ac:dyDescent="0.25">
      <c r="G544" s="15"/>
    </row>
    <row r="545" spans="7:7" x14ac:dyDescent="0.25">
      <c r="G545" s="15"/>
    </row>
    <row r="546" spans="7:7" x14ac:dyDescent="0.25">
      <c r="G546" s="15"/>
    </row>
    <row r="547" spans="7:7" x14ac:dyDescent="0.25">
      <c r="G547" s="15"/>
    </row>
    <row r="548" spans="7:7" x14ac:dyDescent="0.25">
      <c r="G548" s="15"/>
    </row>
    <row r="549" spans="7:7" x14ac:dyDescent="0.25">
      <c r="G549" s="15"/>
    </row>
    <row r="550" spans="7:7" x14ac:dyDescent="0.25">
      <c r="G550" s="15"/>
    </row>
    <row r="551" spans="7:7" x14ac:dyDescent="0.25">
      <c r="G551" s="15"/>
    </row>
    <row r="552" spans="7:7" x14ac:dyDescent="0.25">
      <c r="G552" s="15"/>
    </row>
    <row r="553" spans="7:7" x14ac:dyDescent="0.25">
      <c r="G553" s="15"/>
    </row>
    <row r="554" spans="7:7" x14ac:dyDescent="0.25">
      <c r="G554" s="15"/>
    </row>
    <row r="555" spans="7:7" x14ac:dyDescent="0.25">
      <c r="G555" s="15"/>
    </row>
    <row r="556" spans="7:7" x14ac:dyDescent="0.25">
      <c r="G556" s="15"/>
    </row>
    <row r="557" spans="7:7" x14ac:dyDescent="0.25">
      <c r="G557" s="15"/>
    </row>
    <row r="558" spans="7:7" x14ac:dyDescent="0.25">
      <c r="G558" s="15"/>
    </row>
    <row r="559" spans="7:7" x14ac:dyDescent="0.25">
      <c r="G559" s="15"/>
    </row>
    <row r="560" spans="7:7" x14ac:dyDescent="0.25">
      <c r="G560" s="15"/>
    </row>
    <row r="561" spans="7:7" x14ac:dyDescent="0.25">
      <c r="G561" s="15"/>
    </row>
    <row r="562" spans="7:7" x14ac:dyDescent="0.25">
      <c r="G562" s="15"/>
    </row>
    <row r="563" spans="7:7" x14ac:dyDescent="0.25">
      <c r="G563" s="15"/>
    </row>
    <row r="564" spans="7:7" x14ac:dyDescent="0.25">
      <c r="G564" s="15"/>
    </row>
    <row r="565" spans="7:7" x14ac:dyDescent="0.25">
      <c r="G565" s="15"/>
    </row>
    <row r="566" spans="7:7" x14ac:dyDescent="0.25">
      <c r="G566" s="15"/>
    </row>
    <row r="567" spans="7:7" x14ac:dyDescent="0.25">
      <c r="G567" s="15"/>
    </row>
    <row r="568" spans="7:7" x14ac:dyDescent="0.25">
      <c r="G568" s="15"/>
    </row>
    <row r="569" spans="7:7" x14ac:dyDescent="0.25">
      <c r="G569" s="15"/>
    </row>
    <row r="570" spans="7:7" x14ac:dyDescent="0.25">
      <c r="G570" s="15"/>
    </row>
    <row r="571" spans="7:7" x14ac:dyDescent="0.25">
      <c r="G571" s="15"/>
    </row>
    <row r="572" spans="7:7" x14ac:dyDescent="0.25">
      <c r="G572" s="15"/>
    </row>
    <row r="573" spans="7:7" x14ac:dyDescent="0.25">
      <c r="G573" s="15"/>
    </row>
    <row r="574" spans="7:7" x14ac:dyDescent="0.25">
      <c r="G574" s="15"/>
    </row>
    <row r="575" spans="7:7" x14ac:dyDescent="0.25">
      <c r="G575" s="15"/>
    </row>
    <row r="576" spans="7:7" x14ac:dyDescent="0.25">
      <c r="G576" s="15"/>
    </row>
    <row r="577" spans="7:7" x14ac:dyDescent="0.25">
      <c r="G577" s="15"/>
    </row>
    <row r="578" spans="7:7" x14ac:dyDescent="0.25">
      <c r="G578" s="15"/>
    </row>
    <row r="579" spans="7:7" x14ac:dyDescent="0.25">
      <c r="G579" s="15"/>
    </row>
    <row r="580" spans="7:7" x14ac:dyDescent="0.25">
      <c r="G580" s="15"/>
    </row>
    <row r="581" spans="7:7" x14ac:dyDescent="0.25">
      <c r="G581" s="15"/>
    </row>
    <row r="582" spans="7:7" x14ac:dyDescent="0.25">
      <c r="G582" s="15"/>
    </row>
    <row r="583" spans="7:7" x14ac:dyDescent="0.25">
      <c r="G583" s="15"/>
    </row>
    <row r="584" spans="7:7" x14ac:dyDescent="0.25">
      <c r="G584" s="15"/>
    </row>
    <row r="585" spans="7:7" x14ac:dyDescent="0.25">
      <c r="G585" s="15"/>
    </row>
    <row r="586" spans="7:7" x14ac:dyDescent="0.25">
      <c r="G586" s="15"/>
    </row>
    <row r="587" spans="7:7" x14ac:dyDescent="0.25">
      <c r="G587" s="15"/>
    </row>
    <row r="588" spans="7:7" x14ac:dyDescent="0.25">
      <c r="G588" s="15"/>
    </row>
    <row r="589" spans="7:7" x14ac:dyDescent="0.25">
      <c r="G589" s="15"/>
    </row>
    <row r="590" spans="7:7" x14ac:dyDescent="0.25">
      <c r="G590" s="15"/>
    </row>
    <row r="591" spans="7:7" x14ac:dyDescent="0.25">
      <c r="G591" s="15"/>
    </row>
    <row r="592" spans="7:7" x14ac:dyDescent="0.25">
      <c r="G592" s="15"/>
    </row>
    <row r="593" spans="7:7" x14ac:dyDescent="0.25">
      <c r="G593" s="15"/>
    </row>
    <row r="594" spans="7:7" x14ac:dyDescent="0.25">
      <c r="G594" s="15"/>
    </row>
    <row r="595" spans="7:7" x14ac:dyDescent="0.25">
      <c r="G595" s="15"/>
    </row>
    <row r="596" spans="7:7" x14ac:dyDescent="0.25">
      <c r="G596" s="15"/>
    </row>
    <row r="597" spans="7:7" x14ac:dyDescent="0.25">
      <c r="G597" s="15"/>
    </row>
    <row r="598" spans="7:7" x14ac:dyDescent="0.25">
      <c r="G598" s="15"/>
    </row>
    <row r="599" spans="7:7" x14ac:dyDescent="0.25">
      <c r="G599" s="15"/>
    </row>
    <row r="600" spans="7:7" x14ac:dyDescent="0.25">
      <c r="G600" s="15"/>
    </row>
    <row r="601" spans="7:7" x14ac:dyDescent="0.25">
      <c r="G601" s="15"/>
    </row>
    <row r="602" spans="7:7" x14ac:dyDescent="0.25">
      <c r="G602" s="15"/>
    </row>
    <row r="603" spans="7:7" x14ac:dyDescent="0.25">
      <c r="G603" s="15"/>
    </row>
    <row r="604" spans="7:7" x14ac:dyDescent="0.25">
      <c r="G604" s="15"/>
    </row>
    <row r="605" spans="7:7" x14ac:dyDescent="0.25">
      <c r="G605" s="15"/>
    </row>
    <row r="606" spans="7:7" x14ac:dyDescent="0.25">
      <c r="G606" s="15"/>
    </row>
    <row r="607" spans="7:7" x14ac:dyDescent="0.25">
      <c r="G607" s="15"/>
    </row>
    <row r="608" spans="7:7" x14ac:dyDescent="0.25">
      <c r="G608" s="15"/>
    </row>
    <row r="609" spans="7:7" x14ac:dyDescent="0.25">
      <c r="G609" s="15"/>
    </row>
    <row r="610" spans="7:7" x14ac:dyDescent="0.25">
      <c r="G610" s="15"/>
    </row>
    <row r="611" spans="7:7" x14ac:dyDescent="0.25">
      <c r="G611" s="15"/>
    </row>
    <row r="612" spans="7:7" x14ac:dyDescent="0.25">
      <c r="G612" s="15"/>
    </row>
    <row r="613" spans="7:7" x14ac:dyDescent="0.25">
      <c r="G613" s="15"/>
    </row>
    <row r="614" spans="7:7" x14ac:dyDescent="0.25">
      <c r="G614" s="15"/>
    </row>
    <row r="615" spans="7:7" x14ac:dyDescent="0.25">
      <c r="G615" s="15"/>
    </row>
    <row r="616" spans="7:7" x14ac:dyDescent="0.25">
      <c r="G616" s="15"/>
    </row>
    <row r="617" spans="7:7" x14ac:dyDescent="0.25">
      <c r="G617" s="15"/>
    </row>
    <row r="618" spans="7:7" x14ac:dyDescent="0.25">
      <c r="G618" s="15"/>
    </row>
    <row r="619" spans="7:7" x14ac:dyDescent="0.25">
      <c r="G619" s="15"/>
    </row>
    <row r="620" spans="7:7" x14ac:dyDescent="0.25">
      <c r="G620" s="15"/>
    </row>
    <row r="621" spans="7:7" x14ac:dyDescent="0.25">
      <c r="G621" s="15"/>
    </row>
    <row r="622" spans="7:7" x14ac:dyDescent="0.25">
      <c r="G622" s="15"/>
    </row>
    <row r="623" spans="7:7" x14ac:dyDescent="0.25">
      <c r="G623" s="15"/>
    </row>
    <row r="624" spans="7:7" x14ac:dyDescent="0.25">
      <c r="G624" s="15"/>
    </row>
    <row r="625" spans="7:7" x14ac:dyDescent="0.25">
      <c r="G625" s="15"/>
    </row>
    <row r="626" spans="7:7" x14ac:dyDescent="0.25">
      <c r="G626" s="15"/>
    </row>
    <row r="627" spans="7:7" x14ac:dyDescent="0.25">
      <c r="G627" s="15"/>
    </row>
    <row r="628" spans="7:7" x14ac:dyDescent="0.25">
      <c r="G628" s="15"/>
    </row>
    <row r="629" spans="7:7" x14ac:dyDescent="0.25">
      <c r="G629" s="15"/>
    </row>
    <row r="630" spans="7:7" x14ac:dyDescent="0.25">
      <c r="G630" s="15"/>
    </row>
    <row r="631" spans="7:7" x14ac:dyDescent="0.25">
      <c r="G631" s="15"/>
    </row>
    <row r="632" spans="7:7" x14ac:dyDescent="0.25">
      <c r="G632" s="15"/>
    </row>
    <row r="633" spans="7:7" x14ac:dyDescent="0.25">
      <c r="G633" s="15"/>
    </row>
    <row r="634" spans="7:7" x14ac:dyDescent="0.25">
      <c r="G634" s="15"/>
    </row>
    <row r="635" spans="7:7" x14ac:dyDescent="0.25">
      <c r="G635" s="15"/>
    </row>
    <row r="636" spans="7:7" x14ac:dyDescent="0.25">
      <c r="G636" s="15"/>
    </row>
    <row r="637" spans="7:7" x14ac:dyDescent="0.25">
      <c r="G637" s="15"/>
    </row>
    <row r="638" spans="7:7" x14ac:dyDescent="0.25">
      <c r="G638" s="15"/>
    </row>
    <row r="639" spans="7:7" x14ac:dyDescent="0.25">
      <c r="G639" s="15"/>
    </row>
    <row r="640" spans="7:7" x14ac:dyDescent="0.25">
      <c r="G640" s="15"/>
    </row>
    <row r="641" spans="7:7" x14ac:dyDescent="0.25">
      <c r="G641" s="15"/>
    </row>
    <row r="642" spans="7:7" x14ac:dyDescent="0.25">
      <c r="G642" s="15"/>
    </row>
    <row r="643" spans="7:7" x14ac:dyDescent="0.25">
      <c r="G643" s="15"/>
    </row>
    <row r="644" spans="7:7" x14ac:dyDescent="0.25">
      <c r="G644" s="15"/>
    </row>
    <row r="645" spans="7:7" x14ac:dyDescent="0.25">
      <c r="G645" s="15"/>
    </row>
    <row r="646" spans="7:7" x14ac:dyDescent="0.25">
      <c r="G646" s="15"/>
    </row>
    <row r="647" spans="7:7" x14ac:dyDescent="0.25">
      <c r="G647" s="15"/>
    </row>
    <row r="648" spans="7:7" x14ac:dyDescent="0.25">
      <c r="G648" s="15"/>
    </row>
    <row r="649" spans="7:7" x14ac:dyDescent="0.25">
      <c r="G649" s="15"/>
    </row>
    <row r="650" spans="7:7" x14ac:dyDescent="0.25">
      <c r="G650" s="15"/>
    </row>
    <row r="651" spans="7:7" x14ac:dyDescent="0.25">
      <c r="G651" s="15"/>
    </row>
    <row r="652" spans="7:7" x14ac:dyDescent="0.25">
      <c r="G652" s="15"/>
    </row>
    <row r="653" spans="7:7" x14ac:dyDescent="0.25">
      <c r="G653" s="15"/>
    </row>
    <row r="654" spans="7:7" x14ac:dyDescent="0.25">
      <c r="G654" s="15"/>
    </row>
    <row r="655" spans="7:7" x14ac:dyDescent="0.25">
      <c r="G655" s="15"/>
    </row>
    <row r="656" spans="7:7" x14ac:dyDescent="0.25">
      <c r="G656" s="15"/>
    </row>
    <row r="657" spans="7:7" x14ac:dyDescent="0.25">
      <c r="G657" s="15"/>
    </row>
    <row r="658" spans="7:7" x14ac:dyDescent="0.25">
      <c r="G658" s="15"/>
    </row>
    <row r="659" spans="7:7" x14ac:dyDescent="0.25">
      <c r="G659" s="15"/>
    </row>
    <row r="660" spans="7:7" x14ac:dyDescent="0.25">
      <c r="G660" s="15"/>
    </row>
    <row r="661" spans="7:7" x14ac:dyDescent="0.25">
      <c r="G661" s="15"/>
    </row>
    <row r="662" spans="7:7" x14ac:dyDescent="0.25">
      <c r="G662" s="15"/>
    </row>
    <row r="663" spans="7:7" x14ac:dyDescent="0.25">
      <c r="G663" s="15"/>
    </row>
    <row r="664" spans="7:7" x14ac:dyDescent="0.25">
      <c r="G664" s="15"/>
    </row>
    <row r="665" spans="7:7" x14ac:dyDescent="0.25">
      <c r="G665" s="15"/>
    </row>
    <row r="666" spans="7:7" x14ac:dyDescent="0.25">
      <c r="G666" s="15"/>
    </row>
    <row r="667" spans="7:7" x14ac:dyDescent="0.25">
      <c r="G667" s="15"/>
    </row>
    <row r="668" spans="7:7" x14ac:dyDescent="0.25">
      <c r="G668" s="15"/>
    </row>
    <row r="669" spans="7:7" x14ac:dyDescent="0.25">
      <c r="G669" s="15"/>
    </row>
    <row r="670" spans="7:7" x14ac:dyDescent="0.25">
      <c r="G670" s="15"/>
    </row>
    <row r="671" spans="7:7" x14ac:dyDescent="0.25">
      <c r="G671" s="15"/>
    </row>
    <row r="672" spans="7:7" x14ac:dyDescent="0.25">
      <c r="G672" s="15"/>
    </row>
    <row r="673" spans="7:7" x14ac:dyDescent="0.25">
      <c r="G673" s="15"/>
    </row>
    <row r="674" spans="7:7" x14ac:dyDescent="0.25">
      <c r="G674" s="15"/>
    </row>
    <row r="675" spans="7:7" x14ac:dyDescent="0.25">
      <c r="G675" s="15"/>
    </row>
    <row r="676" spans="7:7" x14ac:dyDescent="0.25">
      <c r="G676" s="15"/>
    </row>
    <row r="677" spans="7:7" x14ac:dyDescent="0.25">
      <c r="G677" s="15"/>
    </row>
    <row r="678" spans="7:7" x14ac:dyDescent="0.25">
      <c r="G678" s="15"/>
    </row>
    <row r="679" spans="7:7" x14ac:dyDescent="0.25">
      <c r="G679" s="15"/>
    </row>
    <row r="680" spans="7:7" x14ac:dyDescent="0.25">
      <c r="G680" s="15"/>
    </row>
    <row r="681" spans="7:7" x14ac:dyDescent="0.25">
      <c r="G681" s="15"/>
    </row>
    <row r="682" spans="7:7" x14ac:dyDescent="0.25">
      <c r="G682" s="15"/>
    </row>
    <row r="683" spans="7:7" x14ac:dyDescent="0.25">
      <c r="G683" s="15"/>
    </row>
    <row r="684" spans="7:7" x14ac:dyDescent="0.25">
      <c r="G684" s="15"/>
    </row>
    <row r="685" spans="7:7" x14ac:dyDescent="0.25">
      <c r="G685" s="15"/>
    </row>
    <row r="686" spans="7:7" x14ac:dyDescent="0.25">
      <c r="G686" s="15"/>
    </row>
    <row r="687" spans="7:7" x14ac:dyDescent="0.25">
      <c r="G687" s="15"/>
    </row>
    <row r="688" spans="7:7" x14ac:dyDescent="0.25">
      <c r="G688" s="15"/>
    </row>
    <row r="689" spans="7:7" x14ac:dyDescent="0.25">
      <c r="G689" s="15"/>
    </row>
    <row r="690" spans="7:7" x14ac:dyDescent="0.25">
      <c r="G690" s="15"/>
    </row>
    <row r="691" spans="7:7" x14ac:dyDescent="0.25">
      <c r="G691" s="15"/>
    </row>
    <row r="692" spans="7:7" x14ac:dyDescent="0.25">
      <c r="G692" s="15"/>
    </row>
    <row r="693" spans="7:7" x14ac:dyDescent="0.25">
      <c r="G693" s="15"/>
    </row>
    <row r="694" spans="7:7" x14ac:dyDescent="0.25">
      <c r="G694" s="15"/>
    </row>
    <row r="695" spans="7:7" x14ac:dyDescent="0.25">
      <c r="G695" s="15"/>
    </row>
    <row r="696" spans="7:7" x14ac:dyDescent="0.25">
      <c r="G696" s="15"/>
    </row>
    <row r="697" spans="7:7" x14ac:dyDescent="0.25">
      <c r="G697" s="15"/>
    </row>
    <row r="698" spans="7:7" x14ac:dyDescent="0.25">
      <c r="G698" s="15"/>
    </row>
    <row r="699" spans="7:7" x14ac:dyDescent="0.25">
      <c r="G699" s="15"/>
    </row>
    <row r="700" spans="7:7" x14ac:dyDescent="0.25">
      <c r="G700" s="15"/>
    </row>
    <row r="701" spans="7:7" x14ac:dyDescent="0.25">
      <c r="G701" s="15"/>
    </row>
    <row r="702" spans="7:7" x14ac:dyDescent="0.25">
      <c r="G702" s="15"/>
    </row>
    <row r="703" spans="7:7" x14ac:dyDescent="0.25">
      <c r="G703" s="15"/>
    </row>
    <row r="704" spans="7:7" x14ac:dyDescent="0.25">
      <c r="G704" s="15"/>
    </row>
    <row r="705" spans="7:7" x14ac:dyDescent="0.25">
      <c r="G705" s="15"/>
    </row>
    <row r="706" spans="7:7" x14ac:dyDescent="0.25">
      <c r="G706" s="15"/>
    </row>
    <row r="707" spans="7:7" x14ac:dyDescent="0.25">
      <c r="G707" s="15"/>
    </row>
    <row r="708" spans="7:7" x14ac:dyDescent="0.25">
      <c r="G708" s="15"/>
    </row>
    <row r="709" spans="7:7" x14ac:dyDescent="0.25">
      <c r="G709" s="15"/>
    </row>
    <row r="710" spans="7:7" x14ac:dyDescent="0.25">
      <c r="G710" s="15"/>
    </row>
    <row r="711" spans="7:7" x14ac:dyDescent="0.25">
      <c r="G711" s="15"/>
    </row>
    <row r="712" spans="7:7" x14ac:dyDescent="0.25">
      <c r="G712" s="15"/>
    </row>
    <row r="713" spans="7:7" x14ac:dyDescent="0.25">
      <c r="G713" s="15"/>
    </row>
    <row r="714" spans="7:7" x14ac:dyDescent="0.25">
      <c r="G714" s="15"/>
    </row>
    <row r="715" spans="7:7" x14ac:dyDescent="0.25">
      <c r="G715" s="15"/>
    </row>
    <row r="716" spans="7:7" x14ac:dyDescent="0.25">
      <c r="G716" s="15"/>
    </row>
    <row r="717" spans="7:7" x14ac:dyDescent="0.25">
      <c r="G717" s="15"/>
    </row>
    <row r="718" spans="7:7" x14ac:dyDescent="0.25">
      <c r="G718" s="15"/>
    </row>
    <row r="719" spans="7:7" x14ac:dyDescent="0.25">
      <c r="G719" s="15"/>
    </row>
    <row r="720" spans="7:7" x14ac:dyDescent="0.25">
      <c r="G720" s="15"/>
    </row>
    <row r="721" spans="7:7" x14ac:dyDescent="0.25">
      <c r="G721" s="15"/>
    </row>
    <row r="722" spans="7:7" x14ac:dyDescent="0.25">
      <c r="G722" s="15"/>
    </row>
    <row r="723" spans="7:7" x14ac:dyDescent="0.25">
      <c r="G723" s="15"/>
    </row>
    <row r="724" spans="7:7" x14ac:dyDescent="0.25">
      <c r="G724" s="15"/>
    </row>
    <row r="725" spans="7:7" x14ac:dyDescent="0.25">
      <c r="G725" s="15"/>
    </row>
    <row r="726" spans="7:7" x14ac:dyDescent="0.25">
      <c r="G726" s="15"/>
    </row>
    <row r="727" spans="7:7" x14ac:dyDescent="0.25">
      <c r="G727" s="15"/>
    </row>
    <row r="728" spans="7:7" x14ac:dyDescent="0.25">
      <c r="G728" s="15"/>
    </row>
    <row r="729" spans="7:7" x14ac:dyDescent="0.25">
      <c r="G729" s="15"/>
    </row>
    <row r="730" spans="7:7" x14ac:dyDescent="0.25">
      <c r="G730" s="15"/>
    </row>
    <row r="731" spans="7:7" x14ac:dyDescent="0.25">
      <c r="G731" s="15"/>
    </row>
    <row r="732" spans="7:7" x14ac:dyDescent="0.25">
      <c r="G732" s="15"/>
    </row>
    <row r="733" spans="7:7" x14ac:dyDescent="0.25">
      <c r="G733" s="15"/>
    </row>
    <row r="734" spans="7:7" x14ac:dyDescent="0.25">
      <c r="G734" s="15"/>
    </row>
    <row r="735" spans="7:7" x14ac:dyDescent="0.25">
      <c r="G735" s="15"/>
    </row>
    <row r="736" spans="7:7" x14ac:dyDescent="0.25">
      <c r="G736" s="15"/>
    </row>
    <row r="737" spans="7:7" x14ac:dyDescent="0.25">
      <c r="G737" s="15"/>
    </row>
    <row r="738" spans="7:7" x14ac:dyDescent="0.25">
      <c r="G738" s="15"/>
    </row>
    <row r="739" spans="7:7" x14ac:dyDescent="0.25">
      <c r="G739" s="15"/>
    </row>
    <row r="740" spans="7:7" x14ac:dyDescent="0.25">
      <c r="G740" s="15"/>
    </row>
    <row r="741" spans="7:7" x14ac:dyDescent="0.25">
      <c r="G741" s="15"/>
    </row>
    <row r="742" spans="7:7" x14ac:dyDescent="0.25">
      <c r="G742" s="15"/>
    </row>
    <row r="743" spans="7:7" x14ac:dyDescent="0.25">
      <c r="G743" s="15"/>
    </row>
    <row r="744" spans="7:7" x14ac:dyDescent="0.25">
      <c r="G744" s="15"/>
    </row>
    <row r="745" spans="7:7" x14ac:dyDescent="0.25">
      <c r="G745" s="15"/>
    </row>
    <row r="746" spans="7:7" x14ac:dyDescent="0.25">
      <c r="G746" s="15"/>
    </row>
    <row r="747" spans="7:7" x14ac:dyDescent="0.25">
      <c r="G747" s="15"/>
    </row>
    <row r="748" spans="7:7" x14ac:dyDescent="0.25">
      <c r="G748" s="15"/>
    </row>
    <row r="749" spans="7:7" x14ac:dyDescent="0.25">
      <c r="G749" s="15"/>
    </row>
    <row r="750" spans="7:7" x14ac:dyDescent="0.25">
      <c r="G750" s="15"/>
    </row>
    <row r="751" spans="7:7" x14ac:dyDescent="0.25">
      <c r="G751" s="15"/>
    </row>
    <row r="752" spans="7:7" x14ac:dyDescent="0.25">
      <c r="G752" s="15"/>
    </row>
    <row r="753" spans="7:7" x14ac:dyDescent="0.25">
      <c r="G753" s="15"/>
    </row>
    <row r="754" spans="7:7" x14ac:dyDescent="0.25">
      <c r="G754" s="15"/>
    </row>
    <row r="755" spans="7:7" x14ac:dyDescent="0.25">
      <c r="G755" s="15"/>
    </row>
    <row r="756" spans="7:7" x14ac:dyDescent="0.25">
      <c r="G756" s="15"/>
    </row>
    <row r="757" spans="7:7" x14ac:dyDescent="0.25">
      <c r="G757" s="15"/>
    </row>
    <row r="758" spans="7:7" x14ac:dyDescent="0.25">
      <c r="G758" s="15"/>
    </row>
    <row r="759" spans="7:7" x14ac:dyDescent="0.25">
      <c r="G759" s="15"/>
    </row>
    <row r="760" spans="7:7" x14ac:dyDescent="0.25">
      <c r="G760" s="15"/>
    </row>
    <row r="761" spans="7:7" x14ac:dyDescent="0.25">
      <c r="G761" s="15"/>
    </row>
    <row r="762" spans="7:7" x14ac:dyDescent="0.25">
      <c r="G762" s="15"/>
    </row>
    <row r="763" spans="7:7" x14ac:dyDescent="0.25">
      <c r="G763" s="15"/>
    </row>
    <row r="764" spans="7:7" x14ac:dyDescent="0.25">
      <c r="G764" s="15"/>
    </row>
    <row r="765" spans="7:7" x14ac:dyDescent="0.25">
      <c r="G765" s="15"/>
    </row>
    <row r="766" spans="7:7" x14ac:dyDescent="0.25">
      <c r="G766" s="15"/>
    </row>
    <row r="767" spans="7:7" x14ac:dyDescent="0.25">
      <c r="G767" s="15"/>
    </row>
    <row r="768" spans="7:7" x14ac:dyDescent="0.25">
      <c r="G768" s="15"/>
    </row>
    <row r="769" spans="7:7" x14ac:dyDescent="0.25">
      <c r="G769" s="15"/>
    </row>
    <row r="770" spans="7:7" x14ac:dyDescent="0.25">
      <c r="G770" s="15"/>
    </row>
    <row r="771" spans="7:7" x14ac:dyDescent="0.25">
      <c r="G771" s="15"/>
    </row>
    <row r="772" spans="7:7" x14ac:dyDescent="0.25">
      <c r="G772" s="15"/>
    </row>
    <row r="773" spans="7:7" x14ac:dyDescent="0.25">
      <c r="G773" s="15"/>
    </row>
    <row r="774" spans="7:7" x14ac:dyDescent="0.25">
      <c r="G774" s="15"/>
    </row>
    <row r="775" spans="7:7" x14ac:dyDescent="0.25">
      <c r="G775" s="15"/>
    </row>
    <row r="776" spans="7:7" x14ac:dyDescent="0.25">
      <c r="G776" s="15"/>
    </row>
    <row r="777" spans="7:7" x14ac:dyDescent="0.25">
      <c r="G777" s="15"/>
    </row>
    <row r="778" spans="7:7" x14ac:dyDescent="0.25">
      <c r="G778" s="15"/>
    </row>
    <row r="779" spans="7:7" x14ac:dyDescent="0.25">
      <c r="G779" s="15"/>
    </row>
    <row r="780" spans="7:7" x14ac:dyDescent="0.25">
      <c r="G780" s="15"/>
    </row>
    <row r="781" spans="7:7" x14ac:dyDescent="0.25">
      <c r="G781" s="15"/>
    </row>
    <row r="782" spans="7:7" x14ac:dyDescent="0.25">
      <c r="G782" s="15"/>
    </row>
    <row r="783" spans="7:7" x14ac:dyDescent="0.25">
      <c r="G783" s="15"/>
    </row>
    <row r="784" spans="7:7" x14ac:dyDescent="0.25">
      <c r="G784" s="15"/>
    </row>
    <row r="785" spans="7:7" x14ac:dyDescent="0.25">
      <c r="G785" s="15"/>
    </row>
    <row r="786" spans="7:7" x14ac:dyDescent="0.25">
      <c r="G786" s="15"/>
    </row>
    <row r="787" spans="7:7" x14ac:dyDescent="0.25">
      <c r="G787" s="15"/>
    </row>
    <row r="788" spans="7:7" x14ac:dyDescent="0.25">
      <c r="G788" s="15"/>
    </row>
    <row r="789" spans="7:7" x14ac:dyDescent="0.25">
      <c r="G789" s="15"/>
    </row>
    <row r="790" spans="7:7" x14ac:dyDescent="0.25">
      <c r="G790" s="15"/>
    </row>
    <row r="791" spans="7:7" x14ac:dyDescent="0.25">
      <c r="G791" s="15"/>
    </row>
    <row r="792" spans="7:7" x14ac:dyDescent="0.25">
      <c r="G792" s="15"/>
    </row>
    <row r="793" spans="7:7" x14ac:dyDescent="0.25">
      <c r="G793" s="15"/>
    </row>
    <row r="794" spans="7:7" x14ac:dyDescent="0.25">
      <c r="G794" s="15"/>
    </row>
    <row r="795" spans="7:7" x14ac:dyDescent="0.25">
      <c r="G795" s="15"/>
    </row>
    <row r="796" spans="7:7" x14ac:dyDescent="0.25">
      <c r="G796" s="15"/>
    </row>
    <row r="797" spans="7:7" x14ac:dyDescent="0.25">
      <c r="G797" s="15"/>
    </row>
    <row r="798" spans="7:7" x14ac:dyDescent="0.25">
      <c r="G798" s="15"/>
    </row>
    <row r="799" spans="7:7" x14ac:dyDescent="0.25">
      <c r="G799" s="15"/>
    </row>
    <row r="800" spans="7:7" x14ac:dyDescent="0.25">
      <c r="G800" s="15"/>
    </row>
    <row r="801" spans="7:7" x14ac:dyDescent="0.25">
      <c r="G801" s="15"/>
    </row>
    <row r="802" spans="7:7" x14ac:dyDescent="0.25">
      <c r="G802" s="15"/>
    </row>
    <row r="803" spans="7:7" x14ac:dyDescent="0.25">
      <c r="G803" s="15"/>
    </row>
    <row r="804" spans="7:7" x14ac:dyDescent="0.25">
      <c r="G804" s="15"/>
    </row>
    <row r="805" spans="7:7" x14ac:dyDescent="0.25">
      <c r="G805" s="15"/>
    </row>
    <row r="806" spans="7:7" x14ac:dyDescent="0.25">
      <c r="G806" s="15"/>
    </row>
    <row r="807" spans="7:7" x14ac:dyDescent="0.25">
      <c r="G807" s="15"/>
    </row>
    <row r="808" spans="7:7" x14ac:dyDescent="0.25">
      <c r="G808" s="15"/>
    </row>
    <row r="809" spans="7:7" x14ac:dyDescent="0.25">
      <c r="G809" s="15"/>
    </row>
    <row r="810" spans="7:7" x14ac:dyDescent="0.25">
      <c r="G810" s="15"/>
    </row>
    <row r="811" spans="7:7" x14ac:dyDescent="0.25">
      <c r="G811" s="15"/>
    </row>
    <row r="812" spans="7:7" x14ac:dyDescent="0.25">
      <c r="G812" s="15"/>
    </row>
    <row r="813" spans="7:7" x14ac:dyDescent="0.25">
      <c r="G813" s="15"/>
    </row>
    <row r="814" spans="7:7" x14ac:dyDescent="0.25">
      <c r="G814" s="15"/>
    </row>
    <row r="815" spans="7:7" x14ac:dyDescent="0.25">
      <c r="G815" s="15"/>
    </row>
    <row r="816" spans="7:7" x14ac:dyDescent="0.25">
      <c r="G816" s="15"/>
    </row>
    <row r="817" spans="7:7" x14ac:dyDescent="0.25">
      <c r="G817" s="15"/>
    </row>
    <row r="818" spans="7:7" x14ac:dyDescent="0.25">
      <c r="G818" s="15"/>
    </row>
    <row r="819" spans="7:7" x14ac:dyDescent="0.25">
      <c r="G819" s="15"/>
    </row>
    <row r="820" spans="7:7" x14ac:dyDescent="0.25">
      <c r="G820" s="15"/>
    </row>
    <row r="821" spans="7:7" x14ac:dyDescent="0.25">
      <c r="G821" s="15"/>
    </row>
    <row r="822" spans="7:7" x14ac:dyDescent="0.25">
      <c r="G822" s="15"/>
    </row>
    <row r="823" spans="7:7" x14ac:dyDescent="0.25">
      <c r="G823" s="15"/>
    </row>
    <row r="824" spans="7:7" x14ac:dyDescent="0.25">
      <c r="G824" s="15"/>
    </row>
    <row r="825" spans="7:7" x14ac:dyDescent="0.25">
      <c r="G825" s="15"/>
    </row>
    <row r="826" spans="7:7" x14ac:dyDescent="0.25">
      <c r="G826" s="15"/>
    </row>
    <row r="827" spans="7:7" x14ac:dyDescent="0.25">
      <c r="G827" s="15"/>
    </row>
    <row r="828" spans="7:7" x14ac:dyDescent="0.25">
      <c r="G828" s="15"/>
    </row>
    <row r="829" spans="7:7" x14ac:dyDescent="0.25">
      <c r="G829" s="15"/>
    </row>
    <row r="830" spans="7:7" x14ac:dyDescent="0.25">
      <c r="G830" s="15"/>
    </row>
    <row r="831" spans="7:7" x14ac:dyDescent="0.25">
      <c r="G831" s="15"/>
    </row>
    <row r="832" spans="7:7" x14ac:dyDescent="0.25">
      <c r="G832" s="15"/>
    </row>
    <row r="833" spans="7:7" x14ac:dyDescent="0.25">
      <c r="G833" s="15"/>
    </row>
    <row r="834" spans="7:7" x14ac:dyDescent="0.25">
      <c r="G834" s="15"/>
    </row>
    <row r="835" spans="7:7" x14ac:dyDescent="0.25">
      <c r="G835" s="15"/>
    </row>
    <row r="836" spans="7:7" x14ac:dyDescent="0.25">
      <c r="G836" s="15"/>
    </row>
    <row r="837" spans="7:7" x14ac:dyDescent="0.25">
      <c r="G837" s="15"/>
    </row>
    <row r="838" spans="7:7" x14ac:dyDescent="0.25">
      <c r="G838" s="15"/>
    </row>
    <row r="839" spans="7:7" x14ac:dyDescent="0.25">
      <c r="G839" s="15"/>
    </row>
    <row r="840" spans="7:7" x14ac:dyDescent="0.25">
      <c r="G840" s="15"/>
    </row>
    <row r="841" spans="7:7" x14ac:dyDescent="0.25">
      <c r="G841" s="15"/>
    </row>
    <row r="842" spans="7:7" x14ac:dyDescent="0.25">
      <c r="G842" s="15"/>
    </row>
    <row r="843" spans="7:7" x14ac:dyDescent="0.25">
      <c r="G843" s="15"/>
    </row>
    <row r="844" spans="7:7" x14ac:dyDescent="0.25">
      <c r="G844" s="15"/>
    </row>
    <row r="845" spans="7:7" x14ac:dyDescent="0.25">
      <c r="G845" s="15"/>
    </row>
    <row r="846" spans="7:7" x14ac:dyDescent="0.25">
      <c r="G846" s="15"/>
    </row>
    <row r="847" spans="7:7" x14ac:dyDescent="0.25">
      <c r="G847" s="15"/>
    </row>
    <row r="848" spans="7:7" x14ac:dyDescent="0.25">
      <c r="G848" s="15"/>
    </row>
    <row r="849" spans="7:7" x14ac:dyDescent="0.25">
      <c r="G849" s="15"/>
    </row>
    <row r="850" spans="7:7" x14ac:dyDescent="0.25">
      <c r="G850" s="15"/>
    </row>
    <row r="851" spans="7:7" x14ac:dyDescent="0.25">
      <c r="G851" s="15"/>
    </row>
    <row r="852" spans="7:7" x14ac:dyDescent="0.25">
      <c r="G852" s="15"/>
    </row>
    <row r="853" spans="7:7" x14ac:dyDescent="0.25">
      <c r="G853" s="15"/>
    </row>
    <row r="854" spans="7:7" x14ac:dyDescent="0.25">
      <c r="G854" s="15"/>
    </row>
    <row r="855" spans="7:7" x14ac:dyDescent="0.25">
      <c r="G855" s="15"/>
    </row>
    <row r="856" spans="7:7" x14ac:dyDescent="0.25">
      <c r="G856" s="15"/>
    </row>
    <row r="857" spans="7:7" x14ac:dyDescent="0.25">
      <c r="G857" s="15"/>
    </row>
    <row r="858" spans="7:7" x14ac:dyDescent="0.25">
      <c r="G858" s="15"/>
    </row>
    <row r="859" spans="7:7" x14ac:dyDescent="0.25">
      <c r="G859" s="15"/>
    </row>
    <row r="860" spans="7:7" x14ac:dyDescent="0.25">
      <c r="G860" s="15"/>
    </row>
    <row r="861" spans="7:7" x14ac:dyDescent="0.25">
      <c r="G861" s="15"/>
    </row>
    <row r="862" spans="7:7" x14ac:dyDescent="0.25">
      <c r="G862" s="15"/>
    </row>
    <row r="863" spans="7:7" x14ac:dyDescent="0.25">
      <c r="G863" s="15"/>
    </row>
    <row r="864" spans="7:7" x14ac:dyDescent="0.25">
      <c r="G864" s="15"/>
    </row>
    <row r="865" spans="7:7" x14ac:dyDescent="0.25">
      <c r="G865" s="15"/>
    </row>
    <row r="866" spans="7:7" x14ac:dyDescent="0.25">
      <c r="G866" s="15"/>
    </row>
    <row r="867" spans="7:7" x14ac:dyDescent="0.25">
      <c r="G867" s="15"/>
    </row>
    <row r="868" spans="7:7" x14ac:dyDescent="0.25">
      <c r="G868" s="15"/>
    </row>
    <row r="869" spans="7:7" x14ac:dyDescent="0.25">
      <c r="G869" s="15"/>
    </row>
    <row r="870" spans="7:7" x14ac:dyDescent="0.25">
      <c r="G870" s="15"/>
    </row>
    <row r="871" spans="7:7" x14ac:dyDescent="0.25">
      <c r="G871" s="15"/>
    </row>
    <row r="872" spans="7:7" x14ac:dyDescent="0.25">
      <c r="G872" s="15"/>
    </row>
    <row r="873" spans="7:7" x14ac:dyDescent="0.25">
      <c r="G873" s="15"/>
    </row>
    <row r="874" spans="7:7" x14ac:dyDescent="0.25">
      <c r="G874" s="15"/>
    </row>
    <row r="875" spans="7:7" x14ac:dyDescent="0.25">
      <c r="G875" s="15"/>
    </row>
    <row r="876" spans="7:7" x14ac:dyDescent="0.25">
      <c r="G876" s="15"/>
    </row>
    <row r="877" spans="7:7" x14ac:dyDescent="0.25">
      <c r="G877" s="15"/>
    </row>
    <row r="878" spans="7:7" x14ac:dyDescent="0.25">
      <c r="G878" s="15"/>
    </row>
    <row r="879" spans="7:7" x14ac:dyDescent="0.25">
      <c r="G879" s="15"/>
    </row>
    <row r="880" spans="7:7" x14ac:dyDescent="0.25">
      <c r="G880" s="15"/>
    </row>
    <row r="881" spans="7:7" x14ac:dyDescent="0.25">
      <c r="G881" s="15"/>
    </row>
    <row r="882" spans="7:7" x14ac:dyDescent="0.25">
      <c r="G882" s="15"/>
    </row>
    <row r="883" spans="7:7" x14ac:dyDescent="0.25">
      <c r="G883" s="15"/>
    </row>
    <row r="884" spans="7:7" x14ac:dyDescent="0.25">
      <c r="G884" s="15"/>
    </row>
    <row r="885" spans="7:7" x14ac:dyDescent="0.25">
      <c r="G885" s="15"/>
    </row>
    <row r="886" spans="7:7" x14ac:dyDescent="0.25">
      <c r="G886" s="15"/>
    </row>
    <row r="887" spans="7:7" x14ac:dyDescent="0.25">
      <c r="G887" s="15"/>
    </row>
    <row r="888" spans="7:7" x14ac:dyDescent="0.25">
      <c r="G888" s="15"/>
    </row>
    <row r="889" spans="7:7" x14ac:dyDescent="0.25">
      <c r="G889" s="15"/>
    </row>
    <row r="890" spans="7:7" x14ac:dyDescent="0.25">
      <c r="G890" s="15"/>
    </row>
    <row r="891" spans="7:7" x14ac:dyDescent="0.25">
      <c r="G891" s="15"/>
    </row>
    <row r="892" spans="7:7" x14ac:dyDescent="0.25">
      <c r="G892" s="15"/>
    </row>
    <row r="893" spans="7:7" x14ac:dyDescent="0.25">
      <c r="G893" s="15"/>
    </row>
    <row r="894" spans="7:7" x14ac:dyDescent="0.25">
      <c r="G894" s="15"/>
    </row>
    <row r="895" spans="7:7" x14ac:dyDescent="0.25">
      <c r="G895" s="15"/>
    </row>
    <row r="896" spans="7:7" x14ac:dyDescent="0.25">
      <c r="G896" s="15"/>
    </row>
    <row r="897" spans="7:7" x14ac:dyDescent="0.25">
      <c r="G897" s="15"/>
    </row>
    <row r="898" spans="7:7" x14ac:dyDescent="0.25">
      <c r="G898" s="15"/>
    </row>
    <row r="899" spans="7:7" x14ac:dyDescent="0.25">
      <c r="G899" s="15"/>
    </row>
    <row r="900" spans="7:7" x14ac:dyDescent="0.25">
      <c r="G900" s="15"/>
    </row>
    <row r="901" spans="7:7" x14ac:dyDescent="0.25">
      <c r="G901" s="15"/>
    </row>
    <row r="902" spans="7:7" x14ac:dyDescent="0.25">
      <c r="G902" s="15"/>
    </row>
    <row r="903" spans="7:7" x14ac:dyDescent="0.25">
      <c r="G903" s="15"/>
    </row>
    <row r="904" spans="7:7" x14ac:dyDescent="0.25">
      <c r="G904" s="15"/>
    </row>
    <row r="905" spans="7:7" x14ac:dyDescent="0.25">
      <c r="G905" s="15"/>
    </row>
    <row r="906" spans="7:7" x14ac:dyDescent="0.25">
      <c r="G906" s="15"/>
    </row>
    <row r="907" spans="7:7" x14ac:dyDescent="0.25">
      <c r="G907" s="15"/>
    </row>
    <row r="908" spans="7:7" x14ac:dyDescent="0.25">
      <c r="G908" s="15"/>
    </row>
    <row r="909" spans="7:7" x14ac:dyDescent="0.25">
      <c r="G909" s="15"/>
    </row>
    <row r="910" spans="7:7" x14ac:dyDescent="0.25">
      <c r="G910" s="15"/>
    </row>
    <row r="911" spans="7:7" x14ac:dyDescent="0.25">
      <c r="G911" s="15"/>
    </row>
    <row r="912" spans="7:7" x14ac:dyDescent="0.25">
      <c r="G912" s="15"/>
    </row>
    <row r="913" spans="7:7" x14ac:dyDescent="0.25">
      <c r="G913" s="15"/>
    </row>
    <row r="914" spans="7:7" x14ac:dyDescent="0.25">
      <c r="G914" s="15"/>
    </row>
    <row r="915" spans="7:7" x14ac:dyDescent="0.25">
      <c r="G915" s="15"/>
    </row>
    <row r="916" spans="7:7" x14ac:dyDescent="0.25">
      <c r="G916" s="15"/>
    </row>
    <row r="917" spans="7:7" x14ac:dyDescent="0.25">
      <c r="G917" s="15"/>
    </row>
    <row r="918" spans="7:7" x14ac:dyDescent="0.25">
      <c r="G918" s="15"/>
    </row>
    <row r="919" spans="7:7" x14ac:dyDescent="0.25">
      <c r="G919" s="15"/>
    </row>
    <row r="920" spans="7:7" x14ac:dyDescent="0.25">
      <c r="G920" s="15"/>
    </row>
    <row r="921" spans="7:7" x14ac:dyDescent="0.25">
      <c r="G921" s="15"/>
    </row>
    <row r="922" spans="7:7" x14ac:dyDescent="0.25">
      <c r="G922" s="15"/>
    </row>
    <row r="923" spans="7:7" x14ac:dyDescent="0.25">
      <c r="G923" s="15"/>
    </row>
    <row r="924" spans="7:7" x14ac:dyDescent="0.25">
      <c r="G924" s="15"/>
    </row>
    <row r="925" spans="7:7" x14ac:dyDescent="0.25">
      <c r="G925" s="15"/>
    </row>
    <row r="926" spans="7:7" x14ac:dyDescent="0.25">
      <c r="G926" s="15"/>
    </row>
    <row r="927" spans="7:7" x14ac:dyDescent="0.25">
      <c r="G927" s="15"/>
    </row>
    <row r="928" spans="7:7" x14ac:dyDescent="0.25">
      <c r="G928" s="15"/>
    </row>
    <row r="929" spans="7:7" x14ac:dyDescent="0.25">
      <c r="G929" s="15"/>
    </row>
    <row r="930" spans="7:7" x14ac:dyDescent="0.25">
      <c r="G930" s="15"/>
    </row>
    <row r="931" spans="7:7" x14ac:dyDescent="0.25">
      <c r="G931" s="15"/>
    </row>
    <row r="932" spans="7:7" x14ac:dyDescent="0.25">
      <c r="G932" s="15"/>
    </row>
    <row r="933" spans="7:7" x14ac:dyDescent="0.25">
      <c r="G933" s="15"/>
    </row>
    <row r="934" spans="7:7" x14ac:dyDescent="0.25">
      <c r="G934" s="15"/>
    </row>
    <row r="935" spans="7:7" x14ac:dyDescent="0.25">
      <c r="G935" s="15"/>
    </row>
    <row r="936" spans="7:7" x14ac:dyDescent="0.25">
      <c r="G936" s="15"/>
    </row>
    <row r="937" spans="7:7" x14ac:dyDescent="0.25">
      <c r="G937" s="15"/>
    </row>
    <row r="938" spans="7:7" x14ac:dyDescent="0.25">
      <c r="G938" s="15"/>
    </row>
    <row r="939" spans="7:7" x14ac:dyDescent="0.25">
      <c r="G939" s="15"/>
    </row>
    <row r="940" spans="7:7" x14ac:dyDescent="0.25">
      <c r="G940" s="15"/>
    </row>
    <row r="941" spans="7:7" x14ac:dyDescent="0.25">
      <c r="G941" s="15"/>
    </row>
    <row r="942" spans="7:7" x14ac:dyDescent="0.25">
      <c r="G942" s="15"/>
    </row>
    <row r="943" spans="7:7" x14ac:dyDescent="0.25">
      <c r="G943" s="15"/>
    </row>
    <row r="944" spans="7:7" x14ac:dyDescent="0.25">
      <c r="G944" s="15"/>
    </row>
    <row r="945" spans="7:7" x14ac:dyDescent="0.25">
      <c r="G945" s="15"/>
    </row>
    <row r="946" spans="7:7" x14ac:dyDescent="0.25">
      <c r="G946" s="15"/>
    </row>
    <row r="947" spans="7:7" x14ac:dyDescent="0.25">
      <c r="G947" s="15"/>
    </row>
    <row r="948" spans="7:7" x14ac:dyDescent="0.25">
      <c r="G948" s="15"/>
    </row>
    <row r="949" spans="7:7" x14ac:dyDescent="0.25">
      <c r="G949" s="15"/>
    </row>
    <row r="950" spans="7:7" x14ac:dyDescent="0.25">
      <c r="G950" s="15"/>
    </row>
    <row r="951" spans="7:7" x14ac:dyDescent="0.25">
      <c r="G951" s="15"/>
    </row>
    <row r="952" spans="7:7" x14ac:dyDescent="0.25">
      <c r="G952" s="15"/>
    </row>
    <row r="953" spans="7:7" x14ac:dyDescent="0.25">
      <c r="G953" s="15"/>
    </row>
    <row r="954" spans="7:7" x14ac:dyDescent="0.25">
      <c r="G954" s="15"/>
    </row>
    <row r="955" spans="7:7" x14ac:dyDescent="0.25">
      <c r="G955" s="15"/>
    </row>
    <row r="956" spans="7:7" x14ac:dyDescent="0.25">
      <c r="G956" s="15"/>
    </row>
    <row r="957" spans="7:7" x14ac:dyDescent="0.25">
      <c r="G957" s="15"/>
    </row>
    <row r="958" spans="7:7" x14ac:dyDescent="0.25">
      <c r="G958" s="15"/>
    </row>
    <row r="959" spans="7:7" x14ac:dyDescent="0.25">
      <c r="G959" s="15"/>
    </row>
    <row r="960" spans="7:7" x14ac:dyDescent="0.25">
      <c r="G960" s="15"/>
    </row>
    <row r="961" spans="7:7" x14ac:dyDescent="0.25">
      <c r="G961" s="15"/>
    </row>
    <row r="962" spans="7:7" x14ac:dyDescent="0.25">
      <c r="G962" s="15"/>
    </row>
    <row r="963" spans="7:7" x14ac:dyDescent="0.25">
      <c r="G963" s="15"/>
    </row>
    <row r="964" spans="7:7" x14ac:dyDescent="0.25">
      <c r="G964" s="15"/>
    </row>
    <row r="965" spans="7:7" x14ac:dyDescent="0.25">
      <c r="G965" s="15"/>
    </row>
    <row r="966" spans="7:7" x14ac:dyDescent="0.25">
      <c r="G966" s="15"/>
    </row>
    <row r="967" spans="7:7" x14ac:dyDescent="0.25">
      <c r="G967" s="15"/>
    </row>
    <row r="968" spans="7:7" x14ac:dyDescent="0.25">
      <c r="G968" s="15"/>
    </row>
    <row r="969" spans="7:7" x14ac:dyDescent="0.25">
      <c r="G969" s="15"/>
    </row>
    <row r="970" spans="7:7" x14ac:dyDescent="0.25">
      <c r="G970" s="15"/>
    </row>
    <row r="971" spans="7:7" x14ac:dyDescent="0.25">
      <c r="G971" s="15"/>
    </row>
    <row r="972" spans="7:7" x14ac:dyDescent="0.25">
      <c r="G972" s="15"/>
    </row>
    <row r="973" spans="7:7" x14ac:dyDescent="0.25">
      <c r="G973" s="15"/>
    </row>
    <row r="974" spans="7:7" x14ac:dyDescent="0.25">
      <c r="G974" s="15"/>
    </row>
    <row r="975" spans="7:7" x14ac:dyDescent="0.25">
      <c r="G975" s="15"/>
    </row>
    <row r="976" spans="7:7" x14ac:dyDescent="0.25">
      <c r="G976" s="15"/>
    </row>
    <row r="977" spans="7:7" x14ac:dyDescent="0.25">
      <c r="G977" s="15"/>
    </row>
    <row r="978" spans="7:7" x14ac:dyDescent="0.25">
      <c r="G978" s="15"/>
    </row>
    <row r="979" spans="7:7" x14ac:dyDescent="0.25">
      <c r="G979" s="15"/>
    </row>
    <row r="980" spans="7:7" x14ac:dyDescent="0.25">
      <c r="G980" s="15"/>
    </row>
    <row r="981" spans="7:7" x14ac:dyDescent="0.25">
      <c r="G981" s="15"/>
    </row>
    <row r="982" spans="7:7" x14ac:dyDescent="0.25">
      <c r="G982" s="15"/>
    </row>
    <row r="983" spans="7:7" x14ac:dyDescent="0.25">
      <c r="G983" s="15"/>
    </row>
    <row r="984" spans="7:7" x14ac:dyDescent="0.25">
      <c r="G984" s="15"/>
    </row>
    <row r="985" spans="7:7" x14ac:dyDescent="0.25">
      <c r="G985" s="15"/>
    </row>
    <row r="986" spans="7:7" x14ac:dyDescent="0.25">
      <c r="G986" s="15"/>
    </row>
    <row r="987" spans="7:7" x14ac:dyDescent="0.25">
      <c r="G987" s="15"/>
    </row>
    <row r="988" spans="7:7" x14ac:dyDescent="0.25">
      <c r="G988" s="15"/>
    </row>
    <row r="989" spans="7:7" x14ac:dyDescent="0.25">
      <c r="G989" s="15"/>
    </row>
    <row r="990" spans="7:7" x14ac:dyDescent="0.25">
      <c r="G990" s="15"/>
    </row>
    <row r="991" spans="7:7" x14ac:dyDescent="0.25">
      <c r="G991" s="15"/>
    </row>
    <row r="992" spans="7:7" x14ac:dyDescent="0.25">
      <c r="G992" s="15"/>
    </row>
    <row r="993" spans="7:7" x14ac:dyDescent="0.25">
      <c r="G993" s="15"/>
    </row>
    <row r="994" spans="7:7" x14ac:dyDescent="0.25">
      <c r="G994" s="15"/>
    </row>
    <row r="995" spans="7:7" x14ac:dyDescent="0.25">
      <c r="G995" s="15"/>
    </row>
    <row r="996" spans="7:7" x14ac:dyDescent="0.25">
      <c r="G996" s="15"/>
    </row>
    <row r="997" spans="7:7" x14ac:dyDescent="0.25">
      <c r="G997" s="15"/>
    </row>
    <row r="998" spans="7:7" x14ac:dyDescent="0.25">
      <c r="G998" s="15"/>
    </row>
    <row r="999" spans="7:7" x14ac:dyDescent="0.25">
      <c r="G999" s="15"/>
    </row>
    <row r="1000" spans="7:7" x14ac:dyDescent="0.25">
      <c r="G1000" s="15"/>
    </row>
    <row r="1001" spans="7:7" x14ac:dyDescent="0.25">
      <c r="G1001" s="15"/>
    </row>
    <row r="1002" spans="7:7" x14ac:dyDescent="0.25">
      <c r="G1002" s="15"/>
    </row>
    <row r="1003" spans="7:7" x14ac:dyDescent="0.25">
      <c r="G1003" s="15"/>
    </row>
    <row r="1004" spans="7:7" x14ac:dyDescent="0.25">
      <c r="G1004" s="15"/>
    </row>
    <row r="1005" spans="7:7" x14ac:dyDescent="0.25">
      <c r="G1005" s="15"/>
    </row>
    <row r="1006" spans="7:7" x14ac:dyDescent="0.25">
      <c r="G1006" s="15"/>
    </row>
    <row r="1007" spans="7:7" x14ac:dyDescent="0.25">
      <c r="G1007" s="15"/>
    </row>
    <row r="1008" spans="7:7" x14ac:dyDescent="0.25">
      <c r="G1008" s="15"/>
    </row>
    <row r="1009" spans="7:7" x14ac:dyDescent="0.25">
      <c r="G1009" s="15"/>
    </row>
    <row r="1010" spans="7:7" x14ac:dyDescent="0.25">
      <c r="G1010" s="15"/>
    </row>
    <row r="1011" spans="7:7" x14ac:dyDescent="0.25">
      <c r="G1011" s="15"/>
    </row>
    <row r="1012" spans="7:7" x14ac:dyDescent="0.25">
      <c r="G1012" s="15"/>
    </row>
    <row r="1013" spans="7:7" x14ac:dyDescent="0.25">
      <c r="G1013" s="15"/>
    </row>
    <row r="1014" spans="7:7" x14ac:dyDescent="0.25">
      <c r="G1014" s="15"/>
    </row>
    <row r="1015" spans="7:7" x14ac:dyDescent="0.25">
      <c r="G1015" s="15"/>
    </row>
    <row r="1016" spans="7:7" x14ac:dyDescent="0.25">
      <c r="G1016" s="15"/>
    </row>
    <row r="1017" spans="7:7" x14ac:dyDescent="0.25">
      <c r="G1017" s="15"/>
    </row>
    <row r="1018" spans="7:7" x14ac:dyDescent="0.25">
      <c r="G1018" s="15"/>
    </row>
    <row r="1019" spans="7:7" x14ac:dyDescent="0.25">
      <c r="G1019" s="15"/>
    </row>
    <row r="1020" spans="7:7" x14ac:dyDescent="0.25">
      <c r="G1020" s="15"/>
    </row>
    <row r="1021" spans="7:7" x14ac:dyDescent="0.25">
      <c r="G1021" s="15"/>
    </row>
    <row r="1022" spans="7:7" x14ac:dyDescent="0.25">
      <c r="G1022" s="15"/>
    </row>
    <row r="1023" spans="7:7" x14ac:dyDescent="0.25">
      <c r="G1023" s="15"/>
    </row>
    <row r="1024" spans="7:7" x14ac:dyDescent="0.25">
      <c r="G1024" s="15"/>
    </row>
    <row r="1025" spans="7:7" x14ac:dyDescent="0.25">
      <c r="G1025" s="15"/>
    </row>
    <row r="1026" spans="7:7" x14ac:dyDescent="0.25">
      <c r="G1026" s="15"/>
    </row>
    <row r="1027" spans="7:7" x14ac:dyDescent="0.25">
      <c r="G1027" s="15"/>
    </row>
    <row r="1028" spans="7:7" x14ac:dyDescent="0.25">
      <c r="G1028" s="15"/>
    </row>
    <row r="1029" spans="7:7" x14ac:dyDescent="0.25">
      <c r="G1029" s="15"/>
    </row>
    <row r="1030" spans="7:7" x14ac:dyDescent="0.25">
      <c r="G1030" s="15"/>
    </row>
    <row r="1031" spans="7:7" x14ac:dyDescent="0.25">
      <c r="G1031" s="15"/>
    </row>
    <row r="1032" spans="7:7" x14ac:dyDescent="0.25">
      <c r="G1032" s="15"/>
    </row>
    <row r="1033" spans="7:7" x14ac:dyDescent="0.25">
      <c r="G1033" s="15"/>
    </row>
    <row r="1034" spans="7:7" x14ac:dyDescent="0.25">
      <c r="G1034" s="15"/>
    </row>
    <row r="1035" spans="7:7" x14ac:dyDescent="0.25">
      <c r="G1035" s="15"/>
    </row>
    <row r="1036" spans="7:7" x14ac:dyDescent="0.25">
      <c r="G1036" s="15"/>
    </row>
    <row r="1037" spans="7:7" x14ac:dyDescent="0.25">
      <c r="G1037" s="15"/>
    </row>
    <row r="1038" spans="7:7" x14ac:dyDescent="0.25">
      <c r="G1038" s="15"/>
    </row>
    <row r="1039" spans="7:7" x14ac:dyDescent="0.25">
      <c r="G1039" s="15"/>
    </row>
    <row r="1040" spans="7:7" x14ac:dyDescent="0.25">
      <c r="G1040" s="15"/>
    </row>
    <row r="1041" spans="7:7" x14ac:dyDescent="0.25">
      <c r="G1041" s="15"/>
    </row>
    <row r="1042" spans="7:7" x14ac:dyDescent="0.25">
      <c r="G1042" s="15"/>
    </row>
    <row r="1043" spans="7:7" x14ac:dyDescent="0.25">
      <c r="G1043" s="15"/>
    </row>
    <row r="1044" spans="7:7" x14ac:dyDescent="0.25">
      <c r="G1044" s="15"/>
    </row>
    <row r="1045" spans="7:7" x14ac:dyDescent="0.25">
      <c r="G1045" s="15"/>
    </row>
    <row r="1046" spans="7:7" x14ac:dyDescent="0.25">
      <c r="G1046" s="15"/>
    </row>
    <row r="1047" spans="7:7" x14ac:dyDescent="0.25">
      <c r="G1047" s="15"/>
    </row>
    <row r="1048" spans="7:7" x14ac:dyDescent="0.25">
      <c r="G1048" s="15"/>
    </row>
    <row r="1049" spans="7:7" x14ac:dyDescent="0.25">
      <c r="G1049" s="15"/>
    </row>
    <row r="1050" spans="7:7" x14ac:dyDescent="0.25">
      <c r="G1050" s="15"/>
    </row>
    <row r="1051" spans="7:7" x14ac:dyDescent="0.25">
      <c r="G1051" s="15"/>
    </row>
    <row r="1052" spans="7:7" x14ac:dyDescent="0.25">
      <c r="G1052" s="15"/>
    </row>
    <row r="1053" spans="7:7" x14ac:dyDescent="0.25">
      <c r="G1053" s="15"/>
    </row>
    <row r="1054" spans="7:7" x14ac:dyDescent="0.25">
      <c r="G1054" s="15"/>
    </row>
    <row r="1055" spans="7:7" x14ac:dyDescent="0.25">
      <c r="G1055" s="15"/>
    </row>
    <row r="1056" spans="7:7" x14ac:dyDescent="0.25">
      <c r="G1056" s="15"/>
    </row>
    <row r="1057" spans="7:7" x14ac:dyDescent="0.25">
      <c r="G1057" s="15"/>
    </row>
    <row r="1058" spans="7:7" x14ac:dyDescent="0.25">
      <c r="G1058" s="15"/>
    </row>
    <row r="1059" spans="7:7" x14ac:dyDescent="0.25">
      <c r="G1059" s="15"/>
    </row>
    <row r="1060" spans="7:7" x14ac:dyDescent="0.25">
      <c r="G1060" s="15"/>
    </row>
    <row r="1061" spans="7:7" x14ac:dyDescent="0.25">
      <c r="G1061" s="15"/>
    </row>
    <row r="1062" spans="7:7" x14ac:dyDescent="0.25">
      <c r="G1062" s="15"/>
    </row>
    <row r="1063" spans="7:7" x14ac:dyDescent="0.25">
      <c r="G1063" s="15"/>
    </row>
    <row r="1064" spans="7:7" x14ac:dyDescent="0.25">
      <c r="G1064" s="15"/>
    </row>
    <row r="1065" spans="7:7" x14ac:dyDescent="0.25">
      <c r="G1065" s="15"/>
    </row>
    <row r="1066" spans="7:7" x14ac:dyDescent="0.25">
      <c r="G1066" s="15"/>
    </row>
    <row r="1067" spans="7:7" x14ac:dyDescent="0.25">
      <c r="G1067" s="15"/>
    </row>
    <row r="1068" spans="7:7" x14ac:dyDescent="0.25">
      <c r="G1068" s="15"/>
    </row>
    <row r="1069" spans="7:7" x14ac:dyDescent="0.25">
      <c r="G1069" s="15"/>
    </row>
    <row r="1070" spans="7:7" x14ac:dyDescent="0.25">
      <c r="G1070" s="15"/>
    </row>
    <row r="1071" spans="7:7" x14ac:dyDescent="0.25">
      <c r="G1071" s="15"/>
    </row>
    <row r="1072" spans="7:7" x14ac:dyDescent="0.25">
      <c r="G1072" s="15"/>
    </row>
    <row r="1073" spans="7:7" x14ac:dyDescent="0.25">
      <c r="G1073" s="15"/>
    </row>
    <row r="1074" spans="7:7" x14ac:dyDescent="0.25">
      <c r="G1074" s="15"/>
    </row>
    <row r="1075" spans="7:7" x14ac:dyDescent="0.25">
      <c r="G1075" s="15"/>
    </row>
    <row r="1076" spans="7:7" x14ac:dyDescent="0.25">
      <c r="G1076" s="15"/>
    </row>
    <row r="1077" spans="7:7" x14ac:dyDescent="0.25">
      <c r="G1077" s="15"/>
    </row>
    <row r="1078" spans="7:7" x14ac:dyDescent="0.25">
      <c r="G1078" s="15"/>
    </row>
    <row r="1079" spans="7:7" x14ac:dyDescent="0.25">
      <c r="G1079" s="15"/>
    </row>
    <row r="1080" spans="7:7" x14ac:dyDescent="0.25">
      <c r="G1080" s="15"/>
    </row>
    <row r="1081" spans="7:7" x14ac:dyDescent="0.25">
      <c r="G1081" s="15"/>
    </row>
    <row r="1082" spans="7:7" x14ac:dyDescent="0.25">
      <c r="G1082" s="15"/>
    </row>
    <row r="1083" spans="7:7" x14ac:dyDescent="0.25">
      <c r="G1083" s="15"/>
    </row>
    <row r="1084" spans="7:7" x14ac:dyDescent="0.25">
      <c r="G1084" s="15"/>
    </row>
    <row r="1085" spans="7:7" x14ac:dyDescent="0.25">
      <c r="G1085" s="15"/>
    </row>
    <row r="1086" spans="7:7" x14ac:dyDescent="0.25">
      <c r="G1086" s="15"/>
    </row>
    <row r="1087" spans="7:7" x14ac:dyDescent="0.25">
      <c r="G1087" s="15"/>
    </row>
    <row r="1088" spans="7:7" x14ac:dyDescent="0.25">
      <c r="G1088" s="15"/>
    </row>
    <row r="1089" spans="7:7" x14ac:dyDescent="0.25">
      <c r="G1089" s="15"/>
    </row>
    <row r="1090" spans="7:7" x14ac:dyDescent="0.25">
      <c r="G1090" s="15"/>
    </row>
    <row r="1091" spans="7:7" x14ac:dyDescent="0.25">
      <c r="G1091" s="15"/>
    </row>
    <row r="1092" spans="7:7" x14ac:dyDescent="0.25">
      <c r="G1092" s="15"/>
    </row>
    <row r="1093" spans="7:7" x14ac:dyDescent="0.25">
      <c r="G1093" s="15"/>
    </row>
    <row r="1094" spans="7:7" x14ac:dyDescent="0.25">
      <c r="G1094" s="15"/>
    </row>
    <row r="1095" spans="7:7" x14ac:dyDescent="0.25">
      <c r="G1095" s="15"/>
    </row>
    <row r="1096" spans="7:7" x14ac:dyDescent="0.25">
      <c r="G1096" s="15"/>
    </row>
    <row r="1097" spans="7:7" x14ac:dyDescent="0.25">
      <c r="G1097" s="15"/>
    </row>
    <row r="1098" spans="7:7" x14ac:dyDescent="0.25">
      <c r="G1098" s="15"/>
    </row>
    <row r="1099" spans="7:7" x14ac:dyDescent="0.25">
      <c r="G1099" s="15"/>
    </row>
    <row r="1100" spans="7:7" x14ac:dyDescent="0.25">
      <c r="G1100" s="15"/>
    </row>
    <row r="1101" spans="7:7" x14ac:dyDescent="0.25">
      <c r="G1101" s="15"/>
    </row>
    <row r="1102" spans="7:7" x14ac:dyDescent="0.25">
      <c r="G1102" s="15"/>
    </row>
    <row r="1103" spans="7:7" x14ac:dyDescent="0.25">
      <c r="G1103" s="15"/>
    </row>
    <row r="1104" spans="7:7" x14ac:dyDescent="0.25">
      <c r="G1104" s="15"/>
    </row>
    <row r="1105" spans="7:7" x14ac:dyDescent="0.25">
      <c r="G1105" s="15"/>
    </row>
    <row r="1106" spans="7:7" x14ac:dyDescent="0.25">
      <c r="G1106" s="15"/>
    </row>
    <row r="1107" spans="7:7" x14ac:dyDescent="0.25">
      <c r="G1107" s="15"/>
    </row>
    <row r="1108" spans="7:7" x14ac:dyDescent="0.25">
      <c r="G1108" s="15"/>
    </row>
    <row r="1109" spans="7:7" x14ac:dyDescent="0.25">
      <c r="G1109" s="15"/>
    </row>
    <row r="1110" spans="7:7" x14ac:dyDescent="0.25">
      <c r="G1110" s="15"/>
    </row>
    <row r="1111" spans="7:7" x14ac:dyDescent="0.25">
      <c r="G1111" s="15"/>
    </row>
    <row r="1112" spans="7:7" x14ac:dyDescent="0.25">
      <c r="G1112" s="15"/>
    </row>
    <row r="1113" spans="7:7" x14ac:dyDescent="0.25">
      <c r="G1113" s="15"/>
    </row>
    <row r="1114" spans="7:7" x14ac:dyDescent="0.25">
      <c r="G1114" s="15"/>
    </row>
    <row r="1115" spans="7:7" x14ac:dyDescent="0.25">
      <c r="G1115" s="15"/>
    </row>
    <row r="1116" spans="7:7" x14ac:dyDescent="0.25">
      <c r="G1116" s="15"/>
    </row>
    <row r="1117" spans="7:7" x14ac:dyDescent="0.25">
      <c r="G1117" s="15"/>
    </row>
    <row r="1118" spans="7:7" x14ac:dyDescent="0.25">
      <c r="G1118" s="15"/>
    </row>
    <row r="1119" spans="7:7" x14ac:dyDescent="0.25">
      <c r="G1119" s="15"/>
    </row>
    <row r="1120" spans="7:7" x14ac:dyDescent="0.25">
      <c r="G1120" s="15"/>
    </row>
    <row r="1121" spans="7:7" x14ac:dyDescent="0.25">
      <c r="G1121" s="15"/>
    </row>
    <row r="1122" spans="7:7" x14ac:dyDescent="0.25">
      <c r="G1122" s="15"/>
    </row>
    <row r="1123" spans="7:7" x14ac:dyDescent="0.25">
      <c r="G1123" s="15"/>
    </row>
    <row r="1124" spans="7:7" x14ac:dyDescent="0.25">
      <c r="G1124" s="15"/>
    </row>
    <row r="1125" spans="7:7" x14ac:dyDescent="0.25">
      <c r="G1125" s="15"/>
    </row>
    <row r="1126" spans="7:7" x14ac:dyDescent="0.25">
      <c r="G1126" s="15"/>
    </row>
    <row r="1127" spans="7:7" x14ac:dyDescent="0.25">
      <c r="G1127" s="15"/>
    </row>
    <row r="1128" spans="7:7" x14ac:dyDescent="0.25">
      <c r="G1128" s="15"/>
    </row>
    <row r="1129" spans="7:7" x14ac:dyDescent="0.25">
      <c r="G1129" s="15"/>
    </row>
    <row r="1130" spans="7:7" x14ac:dyDescent="0.25">
      <c r="G1130" s="15"/>
    </row>
    <row r="1131" spans="7:7" x14ac:dyDescent="0.25">
      <c r="G1131" s="15"/>
    </row>
    <row r="1132" spans="7:7" x14ac:dyDescent="0.25">
      <c r="G1132" s="15"/>
    </row>
    <row r="1133" spans="7:7" x14ac:dyDescent="0.25">
      <c r="G1133" s="15"/>
    </row>
    <row r="1134" spans="7:7" x14ac:dyDescent="0.25">
      <c r="G1134" s="15"/>
    </row>
    <row r="1135" spans="7:7" x14ac:dyDescent="0.25">
      <c r="G1135" s="15"/>
    </row>
    <row r="1136" spans="7:7" x14ac:dyDescent="0.25">
      <c r="G1136" s="15"/>
    </row>
    <row r="1137" spans="7:7" x14ac:dyDescent="0.25">
      <c r="G1137" s="15"/>
    </row>
    <row r="1138" spans="7:7" x14ac:dyDescent="0.25">
      <c r="G1138" s="15"/>
    </row>
    <row r="1139" spans="7:7" x14ac:dyDescent="0.25">
      <c r="G1139" s="15"/>
    </row>
    <row r="1140" spans="7:7" x14ac:dyDescent="0.25">
      <c r="G1140" s="15"/>
    </row>
    <row r="1141" spans="7:7" x14ac:dyDescent="0.25">
      <c r="G1141" s="15"/>
    </row>
    <row r="1142" spans="7:7" x14ac:dyDescent="0.25">
      <c r="G1142" s="15"/>
    </row>
    <row r="1143" spans="7:7" x14ac:dyDescent="0.25">
      <c r="G1143" s="15"/>
    </row>
    <row r="1144" spans="7:7" x14ac:dyDescent="0.25">
      <c r="G1144" s="15"/>
    </row>
    <row r="1145" spans="7:7" x14ac:dyDescent="0.25">
      <c r="G1145" s="15"/>
    </row>
    <row r="1146" spans="7:7" x14ac:dyDescent="0.25">
      <c r="G1146" s="15"/>
    </row>
    <row r="1147" spans="7:7" x14ac:dyDescent="0.25">
      <c r="G1147" s="15"/>
    </row>
    <row r="1148" spans="7:7" x14ac:dyDescent="0.25">
      <c r="G1148" s="15"/>
    </row>
    <row r="1149" spans="7:7" x14ac:dyDescent="0.25">
      <c r="G1149" s="15"/>
    </row>
    <row r="1150" spans="7:7" x14ac:dyDescent="0.25">
      <c r="G1150" s="15"/>
    </row>
    <row r="1151" spans="7:7" x14ac:dyDescent="0.25">
      <c r="G1151" s="15"/>
    </row>
    <row r="1152" spans="7:7" x14ac:dyDescent="0.25">
      <c r="G1152" s="15"/>
    </row>
    <row r="1153" spans="7:7" x14ac:dyDescent="0.25">
      <c r="G1153" s="15"/>
    </row>
    <row r="1154" spans="7:7" x14ac:dyDescent="0.25">
      <c r="G1154" s="15"/>
    </row>
    <row r="1155" spans="7:7" x14ac:dyDescent="0.25">
      <c r="G1155" s="15"/>
    </row>
    <row r="1156" spans="7:7" x14ac:dyDescent="0.25">
      <c r="G1156" s="15"/>
    </row>
    <row r="1157" spans="7:7" x14ac:dyDescent="0.25">
      <c r="G1157" s="15"/>
    </row>
    <row r="1158" spans="7:7" x14ac:dyDescent="0.25">
      <c r="G1158" s="15"/>
    </row>
    <row r="1159" spans="7:7" x14ac:dyDescent="0.25">
      <c r="G1159" s="15"/>
    </row>
    <row r="1160" spans="7:7" x14ac:dyDescent="0.25">
      <c r="G1160" s="15"/>
    </row>
    <row r="1161" spans="7:7" x14ac:dyDescent="0.25">
      <c r="G1161" s="15"/>
    </row>
    <row r="1162" spans="7:7" x14ac:dyDescent="0.25">
      <c r="G1162" s="15"/>
    </row>
    <row r="1163" spans="7:7" x14ac:dyDescent="0.25">
      <c r="G1163" s="15"/>
    </row>
    <row r="1164" spans="7:7" x14ac:dyDescent="0.25">
      <c r="G1164" s="15"/>
    </row>
    <row r="1165" spans="7:7" x14ac:dyDescent="0.25">
      <c r="G1165" s="15"/>
    </row>
    <row r="1166" spans="7:7" x14ac:dyDescent="0.25">
      <c r="G1166" s="15"/>
    </row>
    <row r="1167" spans="7:7" x14ac:dyDescent="0.25">
      <c r="G1167" s="15"/>
    </row>
    <row r="1168" spans="7:7" x14ac:dyDescent="0.25">
      <c r="G1168" s="15"/>
    </row>
    <row r="1169" spans="7:7" x14ac:dyDescent="0.25">
      <c r="G1169" s="15"/>
    </row>
    <row r="1170" spans="7:7" x14ac:dyDescent="0.25">
      <c r="G1170" s="15"/>
    </row>
    <row r="1171" spans="7:7" x14ac:dyDescent="0.25">
      <c r="G1171" s="15"/>
    </row>
    <row r="1172" spans="7:7" x14ac:dyDescent="0.25">
      <c r="G1172" s="15"/>
    </row>
    <row r="1173" spans="7:7" x14ac:dyDescent="0.25">
      <c r="G1173" s="15"/>
    </row>
    <row r="1174" spans="7:7" x14ac:dyDescent="0.25">
      <c r="G1174" s="15"/>
    </row>
    <row r="1175" spans="7:7" x14ac:dyDescent="0.25">
      <c r="G1175" s="15"/>
    </row>
    <row r="1176" spans="7:7" x14ac:dyDescent="0.25">
      <c r="G1176" s="15"/>
    </row>
    <row r="1177" spans="7:7" x14ac:dyDescent="0.25">
      <c r="G1177" s="15"/>
    </row>
    <row r="1178" spans="7:7" x14ac:dyDescent="0.25">
      <c r="G1178" s="15"/>
    </row>
    <row r="1179" spans="7:7" x14ac:dyDescent="0.25">
      <c r="G1179" s="15"/>
    </row>
    <row r="1180" spans="7:7" x14ac:dyDescent="0.25">
      <c r="G1180" s="15"/>
    </row>
    <row r="1181" spans="7:7" x14ac:dyDescent="0.25">
      <c r="G1181" s="15"/>
    </row>
    <row r="1182" spans="7:7" x14ac:dyDescent="0.25">
      <c r="G1182" s="15"/>
    </row>
    <row r="1183" spans="7:7" x14ac:dyDescent="0.25">
      <c r="G1183" s="15"/>
    </row>
    <row r="1184" spans="7:7" x14ac:dyDescent="0.25">
      <c r="G1184" s="15"/>
    </row>
    <row r="1185" spans="7:7" x14ac:dyDescent="0.25">
      <c r="G1185" s="15"/>
    </row>
    <row r="1186" spans="7:7" x14ac:dyDescent="0.25">
      <c r="G1186" s="15"/>
    </row>
    <row r="1187" spans="7:7" x14ac:dyDescent="0.25">
      <c r="G1187" s="15"/>
    </row>
    <row r="1188" spans="7:7" x14ac:dyDescent="0.25">
      <c r="G1188" s="15"/>
    </row>
    <row r="1189" spans="7:7" x14ac:dyDescent="0.25">
      <c r="G1189" s="15"/>
    </row>
    <row r="1190" spans="7:7" x14ac:dyDescent="0.25">
      <c r="G1190" s="15"/>
    </row>
    <row r="1191" spans="7:7" x14ac:dyDescent="0.25">
      <c r="G1191" s="15"/>
    </row>
    <row r="1192" spans="7:7" x14ac:dyDescent="0.25">
      <c r="G1192" s="15"/>
    </row>
    <row r="1193" spans="7:7" x14ac:dyDescent="0.25">
      <c r="G1193" s="15"/>
    </row>
    <row r="1194" spans="7:7" x14ac:dyDescent="0.25">
      <c r="G1194" s="15"/>
    </row>
    <row r="1195" spans="7:7" x14ac:dyDescent="0.25">
      <c r="G1195" s="15"/>
    </row>
    <row r="1196" spans="7:7" x14ac:dyDescent="0.25">
      <c r="G1196" s="15"/>
    </row>
    <row r="1197" spans="7:7" x14ac:dyDescent="0.25">
      <c r="G1197" s="15"/>
    </row>
    <row r="1198" spans="7:7" x14ac:dyDescent="0.25">
      <c r="G1198" s="15"/>
    </row>
    <row r="1199" spans="7:7" x14ac:dyDescent="0.25">
      <c r="G1199" s="15"/>
    </row>
    <row r="1200" spans="7:7" x14ac:dyDescent="0.25">
      <c r="G1200" s="15"/>
    </row>
    <row r="1201" spans="7:7" x14ac:dyDescent="0.25">
      <c r="G1201" s="15"/>
    </row>
    <row r="1202" spans="7:7" x14ac:dyDescent="0.25">
      <c r="G1202" s="15"/>
    </row>
    <row r="1203" spans="7:7" x14ac:dyDescent="0.25">
      <c r="G1203" s="15"/>
    </row>
    <row r="1204" spans="7:7" x14ac:dyDescent="0.25">
      <c r="G1204" s="15"/>
    </row>
    <row r="1205" spans="7:7" x14ac:dyDescent="0.25">
      <c r="G1205" s="15"/>
    </row>
    <row r="1206" spans="7:7" x14ac:dyDescent="0.25">
      <c r="G1206" s="15"/>
    </row>
    <row r="1207" spans="7:7" x14ac:dyDescent="0.25">
      <c r="G1207" s="15"/>
    </row>
    <row r="1208" spans="7:7" x14ac:dyDescent="0.25">
      <c r="G1208" s="15"/>
    </row>
    <row r="1209" spans="7:7" x14ac:dyDescent="0.25">
      <c r="G1209" s="15"/>
    </row>
    <row r="1210" spans="7:7" x14ac:dyDescent="0.25">
      <c r="G1210" s="15"/>
    </row>
    <row r="1211" spans="7:7" x14ac:dyDescent="0.25">
      <c r="G1211" s="15"/>
    </row>
    <row r="1212" spans="7:7" x14ac:dyDescent="0.25">
      <c r="G1212" s="15"/>
    </row>
    <row r="1213" spans="7:7" x14ac:dyDescent="0.25">
      <c r="G1213" s="15"/>
    </row>
    <row r="1214" spans="7:7" x14ac:dyDescent="0.25">
      <c r="G1214" s="15"/>
    </row>
    <row r="1215" spans="7:7" x14ac:dyDescent="0.25">
      <c r="G1215" s="15"/>
    </row>
    <row r="1216" spans="7:7" x14ac:dyDescent="0.25">
      <c r="G1216" s="15"/>
    </row>
    <row r="1217" spans="7:7" x14ac:dyDescent="0.25">
      <c r="G1217" s="15"/>
    </row>
    <row r="1218" spans="7:7" x14ac:dyDescent="0.25">
      <c r="G1218" s="15"/>
    </row>
    <row r="1219" spans="7:7" x14ac:dyDescent="0.25">
      <c r="G1219" s="15"/>
    </row>
    <row r="1220" spans="7:7" x14ac:dyDescent="0.25">
      <c r="G1220" s="15"/>
    </row>
    <row r="1221" spans="7:7" x14ac:dyDescent="0.25">
      <c r="G1221" s="15"/>
    </row>
    <row r="1222" spans="7:7" x14ac:dyDescent="0.25">
      <c r="G1222" s="15"/>
    </row>
    <row r="1223" spans="7:7" x14ac:dyDescent="0.25">
      <c r="G1223" s="15"/>
    </row>
    <row r="1224" spans="7:7" x14ac:dyDescent="0.25">
      <c r="G1224" s="15"/>
    </row>
    <row r="1225" spans="7:7" x14ac:dyDescent="0.25">
      <c r="G1225" s="15"/>
    </row>
    <row r="1226" spans="7:7" x14ac:dyDescent="0.25">
      <c r="G1226" s="15"/>
    </row>
    <row r="1227" spans="7:7" x14ac:dyDescent="0.25">
      <c r="G1227" s="15"/>
    </row>
    <row r="1228" spans="7:7" x14ac:dyDescent="0.25">
      <c r="G1228" s="15"/>
    </row>
    <row r="1229" spans="7:7" x14ac:dyDescent="0.25">
      <c r="G1229" s="15"/>
    </row>
    <row r="1230" spans="7:7" x14ac:dyDescent="0.25">
      <c r="G1230" s="15"/>
    </row>
    <row r="1231" spans="7:7" x14ac:dyDescent="0.25">
      <c r="G1231" s="15"/>
    </row>
    <row r="1232" spans="7:7" x14ac:dyDescent="0.25">
      <c r="G1232" s="15"/>
    </row>
    <row r="1233" spans="7:7" x14ac:dyDescent="0.25">
      <c r="G1233" s="15"/>
    </row>
    <row r="1234" spans="7:7" x14ac:dyDescent="0.25">
      <c r="G1234" s="15"/>
    </row>
    <row r="1235" spans="7:7" x14ac:dyDescent="0.25">
      <c r="G1235" s="15"/>
    </row>
    <row r="1236" spans="7:7" x14ac:dyDescent="0.25">
      <c r="G1236" s="15"/>
    </row>
    <row r="1237" spans="7:7" x14ac:dyDescent="0.25">
      <c r="G1237" s="15"/>
    </row>
    <row r="1238" spans="7:7" x14ac:dyDescent="0.25">
      <c r="G1238" s="15"/>
    </row>
    <row r="1239" spans="7:7" x14ac:dyDescent="0.25">
      <c r="G1239" s="15"/>
    </row>
    <row r="1240" spans="7:7" x14ac:dyDescent="0.25">
      <c r="G1240" s="15"/>
    </row>
    <row r="1241" spans="7:7" x14ac:dyDescent="0.25">
      <c r="G1241" s="15"/>
    </row>
    <row r="1242" spans="7:7" x14ac:dyDescent="0.25">
      <c r="G1242" s="15"/>
    </row>
    <row r="1243" spans="7:7" x14ac:dyDescent="0.25">
      <c r="G1243" s="15"/>
    </row>
    <row r="1244" spans="7:7" x14ac:dyDescent="0.25">
      <c r="G1244" s="15"/>
    </row>
    <row r="1245" spans="7:7" x14ac:dyDescent="0.25">
      <c r="G1245" s="15"/>
    </row>
    <row r="1246" spans="7:7" x14ac:dyDescent="0.25">
      <c r="G1246" s="15"/>
    </row>
    <row r="1247" spans="7:7" x14ac:dyDescent="0.25">
      <c r="G1247" s="15"/>
    </row>
    <row r="1248" spans="7:7" x14ac:dyDescent="0.25">
      <c r="G1248" s="15"/>
    </row>
    <row r="1249" spans="7:7" x14ac:dyDescent="0.25">
      <c r="G1249" s="15"/>
    </row>
    <row r="1250" spans="7:7" x14ac:dyDescent="0.25">
      <c r="G1250" s="15"/>
    </row>
    <row r="1251" spans="7:7" x14ac:dyDescent="0.25">
      <c r="G1251" s="15"/>
    </row>
    <row r="1252" spans="7:7" x14ac:dyDescent="0.25">
      <c r="G1252" s="15"/>
    </row>
    <row r="1253" spans="7:7" x14ac:dyDescent="0.25">
      <c r="G1253" s="15"/>
    </row>
    <row r="1254" spans="7:7" x14ac:dyDescent="0.25">
      <c r="G1254" s="15"/>
    </row>
    <row r="1255" spans="7:7" x14ac:dyDescent="0.25">
      <c r="G1255" s="15"/>
    </row>
    <row r="1256" spans="7:7" x14ac:dyDescent="0.25">
      <c r="G1256" s="15"/>
    </row>
    <row r="1257" spans="7:7" x14ac:dyDescent="0.25">
      <c r="G1257" s="15"/>
    </row>
    <row r="1258" spans="7:7" x14ac:dyDescent="0.25">
      <c r="G1258" s="15"/>
    </row>
    <row r="1259" spans="7:7" x14ac:dyDescent="0.25">
      <c r="G1259" s="15"/>
    </row>
    <row r="1260" spans="7:7" x14ac:dyDescent="0.25">
      <c r="G1260" s="15"/>
    </row>
    <row r="1261" spans="7:7" x14ac:dyDescent="0.25">
      <c r="G1261" s="15"/>
    </row>
    <row r="1262" spans="7:7" x14ac:dyDescent="0.25">
      <c r="G1262" s="15"/>
    </row>
    <row r="1263" spans="7:7" x14ac:dyDescent="0.25">
      <c r="G1263" s="15"/>
    </row>
    <row r="1264" spans="7:7" x14ac:dyDescent="0.25">
      <c r="G1264" s="15"/>
    </row>
    <row r="1265" spans="7:7" x14ac:dyDescent="0.25">
      <c r="G1265" s="15"/>
    </row>
    <row r="1266" spans="7:7" x14ac:dyDescent="0.25">
      <c r="G1266" s="15"/>
    </row>
    <row r="1267" spans="7:7" x14ac:dyDescent="0.25">
      <c r="G1267" s="15"/>
    </row>
    <row r="1268" spans="7:7" x14ac:dyDescent="0.25">
      <c r="G1268" s="15"/>
    </row>
    <row r="1269" spans="7:7" x14ac:dyDescent="0.25">
      <c r="G1269" s="15"/>
    </row>
    <row r="1270" spans="7:7" x14ac:dyDescent="0.25">
      <c r="G1270" s="15"/>
    </row>
    <row r="1271" spans="7:7" x14ac:dyDescent="0.25">
      <c r="G1271" s="15"/>
    </row>
    <row r="1272" spans="7:7" x14ac:dyDescent="0.25">
      <c r="G1272" s="15"/>
    </row>
    <row r="1273" spans="7:7" x14ac:dyDescent="0.25">
      <c r="G1273" s="15"/>
    </row>
    <row r="1274" spans="7:7" x14ac:dyDescent="0.25">
      <c r="G1274" s="15"/>
    </row>
    <row r="1275" spans="7:7" x14ac:dyDescent="0.25">
      <c r="G1275" s="15"/>
    </row>
    <row r="1276" spans="7:7" x14ac:dyDescent="0.25">
      <c r="G1276" s="15"/>
    </row>
    <row r="1277" spans="7:7" x14ac:dyDescent="0.25">
      <c r="G1277" s="15"/>
    </row>
    <row r="1278" spans="7:7" x14ac:dyDescent="0.25">
      <c r="G1278" s="15"/>
    </row>
    <row r="1279" spans="7:7" x14ac:dyDescent="0.25">
      <c r="G1279" s="15"/>
    </row>
    <row r="1280" spans="7:7" x14ac:dyDescent="0.25">
      <c r="G1280" s="15"/>
    </row>
    <row r="1281" spans="7:7" x14ac:dyDescent="0.25">
      <c r="G1281" s="15"/>
    </row>
    <row r="1282" spans="7:7" x14ac:dyDescent="0.25">
      <c r="G1282" s="15"/>
    </row>
    <row r="1283" spans="7:7" x14ac:dyDescent="0.25">
      <c r="G1283" s="15"/>
    </row>
    <row r="1284" spans="7:7" x14ac:dyDescent="0.25">
      <c r="G1284" s="15"/>
    </row>
    <row r="1285" spans="7:7" x14ac:dyDescent="0.25">
      <c r="G1285" s="15"/>
    </row>
    <row r="1286" spans="7:7" x14ac:dyDescent="0.25">
      <c r="G1286" s="15"/>
    </row>
    <row r="1287" spans="7:7" x14ac:dyDescent="0.25">
      <c r="G1287" s="15"/>
    </row>
    <row r="1288" spans="7:7" x14ac:dyDescent="0.25">
      <c r="G1288" s="15"/>
    </row>
    <row r="1289" spans="7:7" x14ac:dyDescent="0.25">
      <c r="G1289" s="15"/>
    </row>
    <row r="1290" spans="7:7" x14ac:dyDescent="0.25">
      <c r="G1290" s="15"/>
    </row>
    <row r="1291" spans="7:7" x14ac:dyDescent="0.25">
      <c r="G1291" s="15"/>
    </row>
    <row r="1292" spans="7:7" x14ac:dyDescent="0.25">
      <c r="G1292" s="15"/>
    </row>
    <row r="1293" spans="7:7" x14ac:dyDescent="0.25">
      <c r="G1293" s="15"/>
    </row>
    <row r="1294" spans="7:7" x14ac:dyDescent="0.25">
      <c r="G1294" s="15"/>
    </row>
    <row r="1295" spans="7:7" x14ac:dyDescent="0.25">
      <c r="G1295" s="15"/>
    </row>
    <row r="1296" spans="7:7" x14ac:dyDescent="0.25">
      <c r="G1296" s="15"/>
    </row>
    <row r="1297" spans="7:7" x14ac:dyDescent="0.25">
      <c r="G1297" s="15"/>
    </row>
    <row r="1298" spans="7:7" x14ac:dyDescent="0.25">
      <c r="G1298" s="15"/>
    </row>
    <row r="1299" spans="7:7" x14ac:dyDescent="0.25">
      <c r="G1299" s="15"/>
    </row>
    <row r="1300" spans="7:7" x14ac:dyDescent="0.25">
      <c r="G1300" s="15"/>
    </row>
    <row r="1301" spans="7:7" x14ac:dyDescent="0.25">
      <c r="G1301" s="15"/>
    </row>
    <row r="1302" spans="7:7" x14ac:dyDescent="0.25">
      <c r="G1302" s="15"/>
    </row>
    <row r="1303" spans="7:7" x14ac:dyDescent="0.25">
      <c r="G1303" s="15"/>
    </row>
    <row r="1304" spans="7:7" x14ac:dyDescent="0.25">
      <c r="G1304" s="15"/>
    </row>
    <row r="1305" spans="7:7" x14ac:dyDescent="0.25">
      <c r="G1305" s="15"/>
    </row>
    <row r="1306" spans="7:7" x14ac:dyDescent="0.25">
      <c r="G1306" s="15"/>
    </row>
    <row r="1307" spans="7:7" x14ac:dyDescent="0.25">
      <c r="G1307" s="15"/>
    </row>
    <row r="1308" spans="7:7" x14ac:dyDescent="0.25">
      <c r="G1308" s="15"/>
    </row>
    <row r="1309" spans="7:7" x14ac:dyDescent="0.25">
      <c r="G1309" s="15"/>
    </row>
    <row r="1310" spans="7:7" x14ac:dyDescent="0.25">
      <c r="G1310" s="15"/>
    </row>
    <row r="1311" spans="7:7" x14ac:dyDescent="0.25">
      <c r="G1311" s="15"/>
    </row>
    <row r="1312" spans="7:7" x14ac:dyDescent="0.25">
      <c r="G1312" s="15"/>
    </row>
    <row r="1313" spans="7:7" x14ac:dyDescent="0.25">
      <c r="G1313" s="15"/>
    </row>
    <row r="1314" spans="7:7" x14ac:dyDescent="0.25">
      <c r="G1314" s="15"/>
    </row>
    <row r="1315" spans="7:7" x14ac:dyDescent="0.25">
      <c r="G1315" s="15"/>
    </row>
    <row r="1316" spans="7:7" x14ac:dyDescent="0.25">
      <c r="G1316" s="15"/>
    </row>
    <row r="1317" spans="7:7" x14ac:dyDescent="0.25">
      <c r="G1317" s="15"/>
    </row>
    <row r="1318" spans="7:7" x14ac:dyDescent="0.25">
      <c r="G1318" s="15"/>
    </row>
    <row r="1319" spans="7:7" x14ac:dyDescent="0.25">
      <c r="G1319" s="15"/>
    </row>
    <row r="1320" spans="7:7" x14ac:dyDescent="0.25">
      <c r="G1320" s="15"/>
    </row>
    <row r="1321" spans="7:7" x14ac:dyDescent="0.25">
      <c r="G1321" s="15"/>
    </row>
    <row r="1322" spans="7:7" x14ac:dyDescent="0.25">
      <c r="G1322" s="15"/>
    </row>
    <row r="1323" spans="7:7" x14ac:dyDescent="0.25">
      <c r="G1323" s="15"/>
    </row>
    <row r="1324" spans="7:7" x14ac:dyDescent="0.25">
      <c r="G1324" s="15"/>
    </row>
    <row r="1325" spans="7:7" x14ac:dyDescent="0.25">
      <c r="G1325" s="15"/>
    </row>
    <row r="1326" spans="7:7" x14ac:dyDescent="0.25">
      <c r="G1326" s="15"/>
    </row>
    <row r="1327" spans="7:7" x14ac:dyDescent="0.25">
      <c r="G1327" s="15"/>
    </row>
    <row r="1328" spans="7:7" x14ac:dyDescent="0.25">
      <c r="G1328" s="15"/>
    </row>
    <row r="1329" spans="7:7" x14ac:dyDescent="0.25">
      <c r="G1329" s="15"/>
    </row>
    <row r="1330" spans="7:7" x14ac:dyDescent="0.25">
      <c r="G1330" s="15"/>
    </row>
    <row r="1331" spans="7:7" x14ac:dyDescent="0.25">
      <c r="G1331" s="15"/>
    </row>
    <row r="1332" spans="7:7" x14ac:dyDescent="0.25">
      <c r="G1332" s="15"/>
    </row>
    <row r="1333" spans="7:7" x14ac:dyDescent="0.25">
      <c r="G1333" s="15"/>
    </row>
    <row r="1334" spans="7:7" x14ac:dyDescent="0.25">
      <c r="G1334" s="15"/>
    </row>
    <row r="1335" spans="7:7" x14ac:dyDescent="0.25">
      <c r="G1335" s="15"/>
    </row>
    <row r="1336" spans="7:7" x14ac:dyDescent="0.25">
      <c r="G1336" s="15"/>
    </row>
    <row r="1337" spans="7:7" x14ac:dyDescent="0.25">
      <c r="G1337" s="15"/>
    </row>
    <row r="1338" spans="7:7" x14ac:dyDescent="0.25">
      <c r="G1338" s="15"/>
    </row>
    <row r="1339" spans="7:7" x14ac:dyDescent="0.25">
      <c r="G1339" s="15"/>
    </row>
    <row r="1340" spans="7:7" x14ac:dyDescent="0.25">
      <c r="G1340" s="15"/>
    </row>
    <row r="1341" spans="7:7" x14ac:dyDescent="0.25">
      <c r="G1341" s="15"/>
    </row>
    <row r="1342" spans="7:7" x14ac:dyDescent="0.25">
      <c r="G1342" s="15"/>
    </row>
    <row r="1343" spans="7:7" x14ac:dyDescent="0.25">
      <c r="G1343" s="15"/>
    </row>
    <row r="1344" spans="7:7" x14ac:dyDescent="0.25">
      <c r="G1344" s="15"/>
    </row>
    <row r="1345" spans="7:7" x14ac:dyDescent="0.25">
      <c r="G1345" s="15"/>
    </row>
    <row r="1346" spans="7:7" x14ac:dyDescent="0.25">
      <c r="G1346" s="15"/>
    </row>
    <row r="1347" spans="7:7" x14ac:dyDescent="0.25">
      <c r="G1347" s="15"/>
    </row>
    <row r="1348" spans="7:7" x14ac:dyDescent="0.25">
      <c r="G1348" s="15"/>
    </row>
    <row r="1349" spans="7:7" x14ac:dyDescent="0.25">
      <c r="G1349" s="15"/>
    </row>
    <row r="1350" spans="7:7" x14ac:dyDescent="0.25">
      <c r="G1350" s="15"/>
    </row>
    <row r="1351" spans="7:7" x14ac:dyDescent="0.25">
      <c r="G1351" s="15"/>
    </row>
    <row r="1352" spans="7:7" x14ac:dyDescent="0.25">
      <c r="G1352" s="15"/>
    </row>
    <row r="1353" spans="7:7" x14ac:dyDescent="0.25">
      <c r="G1353" s="15"/>
    </row>
    <row r="1354" spans="7:7" x14ac:dyDescent="0.25">
      <c r="G1354" s="15"/>
    </row>
    <row r="1355" spans="7:7" x14ac:dyDescent="0.25">
      <c r="G1355" s="15"/>
    </row>
    <row r="1356" spans="7:7" x14ac:dyDescent="0.25">
      <c r="G1356" s="15"/>
    </row>
    <row r="1357" spans="7:7" x14ac:dyDescent="0.25">
      <c r="G1357" s="15"/>
    </row>
    <row r="1358" spans="7:7" x14ac:dyDescent="0.25">
      <c r="G1358" s="15"/>
    </row>
    <row r="1359" spans="7:7" x14ac:dyDescent="0.25">
      <c r="G1359" s="15"/>
    </row>
    <row r="1360" spans="7:7" x14ac:dyDescent="0.25">
      <c r="G1360" s="15"/>
    </row>
    <row r="1361" spans="7:7" x14ac:dyDescent="0.25">
      <c r="G1361" s="15"/>
    </row>
    <row r="1362" spans="7:7" x14ac:dyDescent="0.25">
      <c r="G1362" s="15"/>
    </row>
    <row r="1363" spans="7:7" x14ac:dyDescent="0.25">
      <c r="G1363" s="15"/>
    </row>
    <row r="1364" spans="7:7" x14ac:dyDescent="0.25">
      <c r="G1364" s="15"/>
    </row>
    <row r="1365" spans="7:7" x14ac:dyDescent="0.25">
      <c r="G1365" s="15"/>
    </row>
    <row r="1366" spans="7:7" x14ac:dyDescent="0.25">
      <c r="G1366" s="15"/>
    </row>
    <row r="1367" spans="7:7" x14ac:dyDescent="0.25">
      <c r="G1367" s="15"/>
    </row>
    <row r="1368" spans="7:7" x14ac:dyDescent="0.25">
      <c r="G1368" s="15"/>
    </row>
    <row r="1369" spans="7:7" x14ac:dyDescent="0.25">
      <c r="G1369" s="15"/>
    </row>
    <row r="1370" spans="7:7" x14ac:dyDescent="0.25">
      <c r="G1370" s="15"/>
    </row>
    <row r="1371" spans="7:7" x14ac:dyDescent="0.25">
      <c r="G1371" s="15"/>
    </row>
    <row r="1372" spans="7:7" x14ac:dyDescent="0.25">
      <c r="G1372" s="15"/>
    </row>
    <row r="1373" spans="7:7" x14ac:dyDescent="0.25">
      <c r="G1373" s="15"/>
    </row>
    <row r="1374" spans="7:7" x14ac:dyDescent="0.25">
      <c r="G1374" s="15"/>
    </row>
    <row r="1375" spans="7:7" x14ac:dyDescent="0.25">
      <c r="G1375" s="15"/>
    </row>
    <row r="1376" spans="7:7" x14ac:dyDescent="0.25">
      <c r="G1376" s="15"/>
    </row>
    <row r="1377" spans="7:7" x14ac:dyDescent="0.25">
      <c r="G1377" s="15"/>
    </row>
    <row r="1378" spans="7:7" x14ac:dyDescent="0.25">
      <c r="G1378" s="15"/>
    </row>
    <row r="1379" spans="7:7" x14ac:dyDescent="0.25">
      <c r="G1379" s="15"/>
    </row>
    <row r="1380" spans="7:7" x14ac:dyDescent="0.25">
      <c r="G1380" s="15"/>
    </row>
    <row r="1381" spans="7:7" x14ac:dyDescent="0.25">
      <c r="G1381" s="15"/>
    </row>
    <row r="1382" spans="7:7" x14ac:dyDescent="0.25">
      <c r="G1382" s="15"/>
    </row>
    <row r="1383" spans="7:7" x14ac:dyDescent="0.25">
      <c r="G1383" s="15"/>
    </row>
    <row r="1384" spans="7:7" x14ac:dyDescent="0.25">
      <c r="G1384" s="15"/>
    </row>
    <row r="1385" spans="7:7" x14ac:dyDescent="0.25">
      <c r="G1385" s="15"/>
    </row>
    <row r="1386" spans="7:7" x14ac:dyDescent="0.25">
      <c r="G1386" s="15"/>
    </row>
    <row r="1387" spans="7:7" x14ac:dyDescent="0.25">
      <c r="G1387" s="15"/>
    </row>
    <row r="1388" spans="7:7" x14ac:dyDescent="0.25">
      <c r="G1388" s="15"/>
    </row>
    <row r="1389" spans="7:7" x14ac:dyDescent="0.25">
      <c r="G1389" s="15"/>
    </row>
    <row r="1390" spans="7:7" x14ac:dyDescent="0.25">
      <c r="G1390" s="15"/>
    </row>
    <row r="1391" spans="7:7" x14ac:dyDescent="0.25">
      <c r="G1391" s="15"/>
    </row>
    <row r="1392" spans="7:7" x14ac:dyDescent="0.25">
      <c r="G1392" s="15"/>
    </row>
    <row r="1393" spans="7:7" x14ac:dyDescent="0.25">
      <c r="G1393" s="15"/>
    </row>
    <row r="1394" spans="7:7" x14ac:dyDescent="0.25">
      <c r="G1394" s="15"/>
    </row>
    <row r="1395" spans="7:7" x14ac:dyDescent="0.25">
      <c r="G1395" s="15"/>
    </row>
    <row r="1396" spans="7:7" x14ac:dyDescent="0.25">
      <c r="G1396" s="15"/>
    </row>
    <row r="1397" spans="7:7" x14ac:dyDescent="0.25">
      <c r="G1397" s="15"/>
    </row>
    <row r="1398" spans="7:7" x14ac:dyDescent="0.25">
      <c r="G1398" s="15"/>
    </row>
    <row r="1399" spans="7:7" x14ac:dyDescent="0.25">
      <c r="G1399" s="15"/>
    </row>
    <row r="1400" spans="7:7" x14ac:dyDescent="0.25">
      <c r="G1400" s="15"/>
    </row>
    <row r="1401" spans="7:7" x14ac:dyDescent="0.25">
      <c r="G1401" s="15"/>
    </row>
    <row r="1402" spans="7:7" x14ac:dyDescent="0.25">
      <c r="G1402" s="15"/>
    </row>
    <row r="1403" spans="7:7" x14ac:dyDescent="0.25">
      <c r="G1403" s="15"/>
    </row>
    <row r="1404" spans="7:7" x14ac:dyDescent="0.25">
      <c r="G1404" s="15"/>
    </row>
    <row r="1405" spans="7:7" x14ac:dyDescent="0.25">
      <c r="G1405" s="15"/>
    </row>
    <row r="1406" spans="7:7" x14ac:dyDescent="0.25">
      <c r="G1406" s="15"/>
    </row>
    <row r="1407" spans="7:7" x14ac:dyDescent="0.25">
      <c r="G1407" s="15"/>
    </row>
    <row r="1408" spans="7:7" x14ac:dyDescent="0.25">
      <c r="G1408" s="15"/>
    </row>
    <row r="1409" spans="7:7" x14ac:dyDescent="0.25">
      <c r="G1409" s="15"/>
    </row>
    <row r="1410" spans="7:7" x14ac:dyDescent="0.25">
      <c r="G1410" s="15"/>
    </row>
    <row r="1411" spans="7:7" x14ac:dyDescent="0.25">
      <c r="G1411" s="15"/>
    </row>
    <row r="1412" spans="7:7" x14ac:dyDescent="0.25">
      <c r="G1412" s="15"/>
    </row>
    <row r="1413" spans="7:7" x14ac:dyDescent="0.25">
      <c r="G1413" s="15"/>
    </row>
    <row r="1414" spans="7:7" x14ac:dyDescent="0.25">
      <c r="G1414" s="15"/>
    </row>
    <row r="1415" spans="7:7" x14ac:dyDescent="0.25">
      <c r="G1415" s="15"/>
    </row>
    <row r="1416" spans="7:7" x14ac:dyDescent="0.25">
      <c r="G1416" s="15"/>
    </row>
    <row r="1417" spans="7:7" x14ac:dyDescent="0.25">
      <c r="G1417" s="15"/>
    </row>
    <row r="1418" spans="7:7" x14ac:dyDescent="0.25">
      <c r="G1418" s="15"/>
    </row>
    <row r="1419" spans="7:7" x14ac:dyDescent="0.25">
      <c r="G1419" s="15"/>
    </row>
    <row r="1420" spans="7:7" x14ac:dyDescent="0.25">
      <c r="G1420" s="15"/>
    </row>
    <row r="1421" spans="7:7" x14ac:dyDescent="0.25">
      <c r="G1421" s="15"/>
    </row>
    <row r="1422" spans="7:7" x14ac:dyDescent="0.25">
      <c r="G1422" s="15"/>
    </row>
    <row r="1423" spans="7:7" x14ac:dyDescent="0.25">
      <c r="G1423" s="15"/>
    </row>
    <row r="1424" spans="7:7" x14ac:dyDescent="0.25">
      <c r="G1424" s="15"/>
    </row>
    <row r="1425" spans="7:7" x14ac:dyDescent="0.25">
      <c r="G1425" s="15"/>
    </row>
    <row r="1426" spans="7:7" x14ac:dyDescent="0.25">
      <c r="G1426" s="15"/>
    </row>
    <row r="1427" spans="7:7" x14ac:dyDescent="0.25">
      <c r="G1427" s="15"/>
    </row>
    <row r="1428" spans="7:7" x14ac:dyDescent="0.25">
      <c r="G1428" s="15"/>
    </row>
    <row r="1429" spans="7:7" x14ac:dyDescent="0.25">
      <c r="G1429" s="15"/>
    </row>
    <row r="1430" spans="7:7" x14ac:dyDescent="0.25">
      <c r="G1430" s="15"/>
    </row>
    <row r="1431" spans="7:7" x14ac:dyDescent="0.25">
      <c r="G1431" s="15"/>
    </row>
    <row r="1432" spans="7:7" x14ac:dyDescent="0.25">
      <c r="G1432" s="15"/>
    </row>
    <row r="1433" spans="7:7" x14ac:dyDescent="0.25">
      <c r="G1433" s="15"/>
    </row>
    <row r="1434" spans="7:7" x14ac:dyDescent="0.25">
      <c r="G1434" s="15"/>
    </row>
    <row r="1435" spans="7:7" x14ac:dyDescent="0.25">
      <c r="G1435" s="15"/>
    </row>
    <row r="1436" spans="7:7" x14ac:dyDescent="0.25">
      <c r="G1436" s="15"/>
    </row>
    <row r="1437" spans="7:7" x14ac:dyDescent="0.25">
      <c r="G1437" s="15"/>
    </row>
    <row r="1438" spans="7:7" x14ac:dyDescent="0.25">
      <c r="G1438" s="15"/>
    </row>
    <row r="1439" spans="7:7" x14ac:dyDescent="0.25">
      <c r="G1439" s="15"/>
    </row>
    <row r="1440" spans="7:7" x14ac:dyDescent="0.25">
      <c r="G1440" s="15"/>
    </row>
    <row r="1441" spans="7:7" x14ac:dyDescent="0.25">
      <c r="G1441" s="15"/>
    </row>
    <row r="1442" spans="7:7" x14ac:dyDescent="0.25">
      <c r="G1442" s="15"/>
    </row>
    <row r="1443" spans="7:7" x14ac:dyDescent="0.25">
      <c r="G1443" s="15"/>
    </row>
    <row r="1444" spans="7:7" x14ac:dyDescent="0.25">
      <c r="G1444" s="15"/>
    </row>
    <row r="1445" spans="7:7" x14ac:dyDescent="0.25">
      <c r="G1445" s="15"/>
    </row>
    <row r="1446" spans="7:7" x14ac:dyDescent="0.25">
      <c r="G1446" s="15"/>
    </row>
    <row r="1447" spans="7:7" x14ac:dyDescent="0.25">
      <c r="G1447" s="15"/>
    </row>
    <row r="1448" spans="7:7" x14ac:dyDescent="0.25">
      <c r="G1448" s="15"/>
    </row>
    <row r="1449" spans="7:7" x14ac:dyDescent="0.25">
      <c r="G1449" s="15"/>
    </row>
    <row r="1450" spans="7:7" x14ac:dyDescent="0.25">
      <c r="G1450" s="15"/>
    </row>
    <row r="1451" spans="7:7" x14ac:dyDescent="0.25">
      <c r="G1451" s="15"/>
    </row>
    <row r="1452" spans="7:7" x14ac:dyDescent="0.25">
      <c r="G1452" s="15"/>
    </row>
    <row r="1453" spans="7:7" x14ac:dyDescent="0.25">
      <c r="G1453" s="15"/>
    </row>
    <row r="1454" spans="7:7" x14ac:dyDescent="0.25">
      <c r="G1454" s="15"/>
    </row>
    <row r="1455" spans="7:7" x14ac:dyDescent="0.25">
      <c r="G1455" s="15"/>
    </row>
    <row r="1456" spans="7:7" x14ac:dyDescent="0.25">
      <c r="G1456" s="15"/>
    </row>
    <row r="1457" spans="7:7" x14ac:dyDescent="0.25">
      <c r="G1457" s="15"/>
    </row>
    <row r="1458" spans="7:7" x14ac:dyDescent="0.25">
      <c r="G1458" s="15"/>
    </row>
    <row r="1459" spans="7:7" x14ac:dyDescent="0.25">
      <c r="G1459" s="15"/>
    </row>
    <row r="1460" spans="7:7" x14ac:dyDescent="0.25">
      <c r="G1460" s="15"/>
    </row>
    <row r="1461" spans="7:7" x14ac:dyDescent="0.25">
      <c r="G1461" s="15"/>
    </row>
    <row r="1462" spans="7:7" x14ac:dyDescent="0.25">
      <c r="G1462" s="15"/>
    </row>
    <row r="1463" spans="7:7" x14ac:dyDescent="0.25">
      <c r="G1463" s="15"/>
    </row>
    <row r="1464" spans="7:7" x14ac:dyDescent="0.25">
      <c r="G1464" s="15"/>
    </row>
    <row r="1465" spans="7:7" x14ac:dyDescent="0.25">
      <c r="G1465" s="15"/>
    </row>
    <row r="1466" spans="7:7" x14ac:dyDescent="0.25">
      <c r="G1466" s="15"/>
    </row>
    <row r="1467" spans="7:7" x14ac:dyDescent="0.25">
      <c r="G1467" s="15"/>
    </row>
    <row r="1468" spans="7:7" x14ac:dyDescent="0.25">
      <c r="G1468" s="15"/>
    </row>
    <row r="1469" spans="7:7" x14ac:dyDescent="0.25">
      <c r="G1469" s="15"/>
    </row>
    <row r="1470" spans="7:7" x14ac:dyDescent="0.25">
      <c r="G1470" s="15"/>
    </row>
    <row r="1471" spans="7:7" x14ac:dyDescent="0.25">
      <c r="G1471" s="15"/>
    </row>
    <row r="1472" spans="7:7" x14ac:dyDescent="0.25">
      <c r="G1472" s="15"/>
    </row>
    <row r="1473" spans="7:7" x14ac:dyDescent="0.25">
      <c r="G1473" s="15"/>
    </row>
    <row r="1474" spans="7:7" x14ac:dyDescent="0.25">
      <c r="G1474" s="15"/>
    </row>
    <row r="1475" spans="7:7" x14ac:dyDescent="0.25">
      <c r="G1475" s="15"/>
    </row>
    <row r="1476" spans="7:7" x14ac:dyDescent="0.25">
      <c r="G1476" s="15"/>
    </row>
    <row r="1477" spans="7:7" x14ac:dyDescent="0.25">
      <c r="G1477" s="15"/>
    </row>
    <row r="1478" spans="7:7" x14ac:dyDescent="0.25">
      <c r="G1478" s="15"/>
    </row>
    <row r="1479" spans="7:7" x14ac:dyDescent="0.25">
      <c r="G1479" s="15"/>
    </row>
    <row r="1480" spans="7:7" x14ac:dyDescent="0.25">
      <c r="G1480" s="15"/>
    </row>
    <row r="1481" spans="7:7" x14ac:dyDescent="0.25">
      <c r="G1481" s="15"/>
    </row>
    <row r="1482" spans="7:7" x14ac:dyDescent="0.25">
      <c r="G1482" s="15"/>
    </row>
    <row r="1483" spans="7:7" x14ac:dyDescent="0.25">
      <c r="G1483" s="15"/>
    </row>
    <row r="1484" spans="7:7" x14ac:dyDescent="0.25">
      <c r="G1484" s="15"/>
    </row>
    <row r="1485" spans="7:7" x14ac:dyDescent="0.25">
      <c r="G1485" s="15"/>
    </row>
    <row r="1486" spans="7:7" x14ac:dyDescent="0.25">
      <c r="G1486" s="15"/>
    </row>
    <row r="1487" spans="7:7" x14ac:dyDescent="0.25">
      <c r="G1487" s="15"/>
    </row>
    <row r="1488" spans="7:7" x14ac:dyDescent="0.25">
      <c r="G1488" s="15"/>
    </row>
    <row r="1489" spans="7:7" x14ac:dyDescent="0.25">
      <c r="G1489" s="15"/>
    </row>
    <row r="1490" spans="7:7" x14ac:dyDescent="0.25">
      <c r="G1490" s="15"/>
    </row>
    <row r="1491" spans="7:7" x14ac:dyDescent="0.25">
      <c r="G1491" s="15"/>
    </row>
    <row r="1492" spans="7:7" x14ac:dyDescent="0.25">
      <c r="G1492" s="15"/>
    </row>
    <row r="1493" spans="7:7" x14ac:dyDescent="0.25">
      <c r="G1493" s="15"/>
    </row>
    <row r="1494" spans="7:7" x14ac:dyDescent="0.25">
      <c r="G1494" s="15"/>
    </row>
    <row r="1495" spans="7:7" x14ac:dyDescent="0.25">
      <c r="G1495" s="15"/>
    </row>
    <row r="1496" spans="7:7" x14ac:dyDescent="0.25">
      <c r="G1496" s="15"/>
    </row>
    <row r="1497" spans="7:7" x14ac:dyDescent="0.25">
      <c r="G1497" s="15"/>
    </row>
    <row r="1498" spans="7:7" x14ac:dyDescent="0.25">
      <c r="G1498" s="15"/>
    </row>
    <row r="1499" spans="7:7" x14ac:dyDescent="0.25">
      <c r="G1499" s="15"/>
    </row>
    <row r="1500" spans="7:7" x14ac:dyDescent="0.25">
      <c r="G1500" s="15"/>
    </row>
    <row r="1501" spans="7:7" x14ac:dyDescent="0.25">
      <c r="G1501" s="15"/>
    </row>
    <row r="1502" spans="7:7" x14ac:dyDescent="0.25">
      <c r="G1502" s="15"/>
    </row>
    <row r="1503" spans="7:7" x14ac:dyDescent="0.25">
      <c r="G1503" s="15"/>
    </row>
    <row r="1504" spans="7:7" x14ac:dyDescent="0.25">
      <c r="G1504" s="15"/>
    </row>
    <row r="1505" spans="7:7" x14ac:dyDescent="0.25">
      <c r="G1505" s="15"/>
    </row>
    <row r="1506" spans="7:7" x14ac:dyDescent="0.25">
      <c r="G1506" s="15"/>
    </row>
    <row r="1507" spans="7:7" x14ac:dyDescent="0.25">
      <c r="G1507" s="15"/>
    </row>
    <row r="1508" spans="7:7" x14ac:dyDescent="0.25">
      <c r="G1508" s="15"/>
    </row>
    <row r="1509" spans="7:7" x14ac:dyDescent="0.25">
      <c r="G1509" s="15"/>
    </row>
    <row r="1510" spans="7:7" x14ac:dyDescent="0.25">
      <c r="G1510" s="15"/>
    </row>
    <row r="1511" spans="7:7" x14ac:dyDescent="0.25">
      <c r="G1511" s="15"/>
    </row>
    <row r="1512" spans="7:7" x14ac:dyDescent="0.25">
      <c r="G1512" s="15"/>
    </row>
    <row r="1513" spans="7:7" x14ac:dyDescent="0.25">
      <c r="G1513" s="15"/>
    </row>
    <row r="1514" spans="7:7" x14ac:dyDescent="0.25">
      <c r="G1514" s="15"/>
    </row>
    <row r="1515" spans="7:7" x14ac:dyDescent="0.25">
      <c r="G1515" s="15"/>
    </row>
    <row r="1516" spans="7:7" x14ac:dyDescent="0.25">
      <c r="G1516" s="15"/>
    </row>
    <row r="1517" spans="7:7" x14ac:dyDescent="0.25">
      <c r="G1517" s="15"/>
    </row>
    <row r="1518" spans="7:7" x14ac:dyDescent="0.25">
      <c r="G1518" s="15"/>
    </row>
    <row r="1519" spans="7:7" x14ac:dyDescent="0.25">
      <c r="G1519" s="15"/>
    </row>
    <row r="1520" spans="7:7" x14ac:dyDescent="0.25">
      <c r="G1520" s="15"/>
    </row>
    <row r="1521" spans="7:7" x14ac:dyDescent="0.25">
      <c r="G1521" s="15"/>
    </row>
    <row r="1522" spans="7:7" x14ac:dyDescent="0.25">
      <c r="G1522" s="15"/>
    </row>
    <row r="1523" spans="7:7" x14ac:dyDescent="0.25">
      <c r="G1523" s="15"/>
    </row>
    <row r="1524" spans="7:7" x14ac:dyDescent="0.25">
      <c r="G1524" s="15"/>
    </row>
    <row r="1525" spans="7:7" x14ac:dyDescent="0.25">
      <c r="G1525" s="15"/>
    </row>
    <row r="1526" spans="7:7" x14ac:dyDescent="0.25">
      <c r="G1526" s="15"/>
    </row>
    <row r="1527" spans="7:7" x14ac:dyDescent="0.25">
      <c r="G1527" s="15"/>
    </row>
    <row r="1528" spans="7:7" x14ac:dyDescent="0.25">
      <c r="G1528" s="15"/>
    </row>
    <row r="1529" spans="7:7" x14ac:dyDescent="0.25">
      <c r="G1529" s="15"/>
    </row>
    <row r="1530" spans="7:7" x14ac:dyDescent="0.25">
      <c r="G1530" s="15"/>
    </row>
    <row r="1531" spans="7:7" x14ac:dyDescent="0.25">
      <c r="G1531" s="15"/>
    </row>
    <row r="1532" spans="7:7" x14ac:dyDescent="0.25">
      <c r="G1532" s="15"/>
    </row>
    <row r="1533" spans="7:7" x14ac:dyDescent="0.25">
      <c r="G1533" s="15"/>
    </row>
    <row r="1534" spans="7:7" x14ac:dyDescent="0.25">
      <c r="G1534" s="15"/>
    </row>
    <row r="1535" spans="7:7" x14ac:dyDescent="0.25">
      <c r="G1535" s="15"/>
    </row>
    <row r="1536" spans="7:7" x14ac:dyDescent="0.25">
      <c r="G1536" s="15"/>
    </row>
    <row r="1537" spans="7:7" x14ac:dyDescent="0.25">
      <c r="G1537" s="15"/>
    </row>
    <row r="1538" spans="7:7" x14ac:dyDescent="0.25">
      <c r="G1538" s="15"/>
    </row>
    <row r="1539" spans="7:7" x14ac:dyDescent="0.25">
      <c r="G1539" s="15"/>
    </row>
    <row r="1540" spans="7:7" x14ac:dyDescent="0.25">
      <c r="G1540" s="15"/>
    </row>
    <row r="1541" spans="7:7" x14ac:dyDescent="0.25">
      <c r="G1541" s="15"/>
    </row>
    <row r="1542" spans="7:7" x14ac:dyDescent="0.25">
      <c r="G1542" s="15"/>
    </row>
    <row r="1543" spans="7:7" x14ac:dyDescent="0.25">
      <c r="G1543" s="15"/>
    </row>
    <row r="1544" spans="7:7" x14ac:dyDescent="0.25">
      <c r="G1544" s="15"/>
    </row>
    <row r="1545" spans="7:7" x14ac:dyDescent="0.25">
      <c r="G1545" s="15"/>
    </row>
    <row r="1546" spans="7:7" x14ac:dyDescent="0.25">
      <c r="G1546" s="15"/>
    </row>
    <row r="1547" spans="7:7" x14ac:dyDescent="0.25">
      <c r="G1547" s="15"/>
    </row>
    <row r="1548" spans="7:7" x14ac:dyDescent="0.25">
      <c r="G1548" s="15"/>
    </row>
    <row r="1549" spans="7:7" x14ac:dyDescent="0.25">
      <c r="G1549" s="15"/>
    </row>
    <row r="1550" spans="7:7" x14ac:dyDescent="0.25">
      <c r="G1550" s="15"/>
    </row>
    <row r="1551" spans="7:7" x14ac:dyDescent="0.25">
      <c r="G1551" s="15"/>
    </row>
    <row r="1552" spans="7:7" x14ac:dyDescent="0.25">
      <c r="G1552" s="15"/>
    </row>
    <row r="1553" spans="7:7" x14ac:dyDescent="0.25">
      <c r="G1553" s="15"/>
    </row>
    <row r="1554" spans="7:7" x14ac:dyDescent="0.25">
      <c r="G1554" s="15"/>
    </row>
    <row r="1555" spans="7:7" x14ac:dyDescent="0.25">
      <c r="G1555" s="15"/>
    </row>
    <row r="1556" spans="7:7" x14ac:dyDescent="0.25">
      <c r="G1556" s="15"/>
    </row>
    <row r="1557" spans="7:7" x14ac:dyDescent="0.25">
      <c r="G1557" s="15"/>
    </row>
    <row r="1558" spans="7:7" x14ac:dyDescent="0.25">
      <c r="G1558" s="15"/>
    </row>
    <row r="1559" spans="7:7" x14ac:dyDescent="0.25">
      <c r="G1559" s="15"/>
    </row>
    <row r="1560" spans="7:7" x14ac:dyDescent="0.25">
      <c r="G1560" s="15"/>
    </row>
    <row r="1561" spans="7:7" x14ac:dyDescent="0.25">
      <c r="G1561" s="15"/>
    </row>
    <row r="1562" spans="7:7" x14ac:dyDescent="0.25">
      <c r="G1562" s="15"/>
    </row>
    <row r="1563" spans="7:7" x14ac:dyDescent="0.25">
      <c r="G1563" s="15"/>
    </row>
    <row r="1564" spans="7:7" x14ac:dyDescent="0.25">
      <c r="G1564" s="15"/>
    </row>
    <row r="1565" spans="7:7" x14ac:dyDescent="0.25">
      <c r="G1565" s="15"/>
    </row>
    <row r="1566" spans="7:7" x14ac:dyDescent="0.25">
      <c r="G1566" s="15"/>
    </row>
    <row r="1567" spans="7:7" x14ac:dyDescent="0.25">
      <c r="G1567" s="15"/>
    </row>
    <row r="1568" spans="7:7" x14ac:dyDescent="0.25">
      <c r="G1568" s="15"/>
    </row>
    <row r="1569" spans="7:7" x14ac:dyDescent="0.25">
      <c r="G1569" s="15"/>
    </row>
    <row r="1570" spans="7:7" x14ac:dyDescent="0.25">
      <c r="G1570" s="15"/>
    </row>
    <row r="1571" spans="7:7" x14ac:dyDescent="0.25">
      <c r="G1571" s="15"/>
    </row>
    <row r="1572" spans="7:7" x14ac:dyDescent="0.25">
      <c r="G1572" s="15"/>
    </row>
    <row r="1573" spans="7:7" x14ac:dyDescent="0.25">
      <c r="G1573" s="15"/>
    </row>
    <row r="1574" spans="7:7" x14ac:dyDescent="0.25">
      <c r="G1574" s="15"/>
    </row>
    <row r="1575" spans="7:7" x14ac:dyDescent="0.25">
      <c r="G1575" s="15"/>
    </row>
    <row r="1576" spans="7:7" x14ac:dyDescent="0.25">
      <c r="G1576" s="15"/>
    </row>
    <row r="1577" spans="7:7" x14ac:dyDescent="0.25">
      <c r="G1577" s="15"/>
    </row>
    <row r="1578" spans="7:7" x14ac:dyDescent="0.25">
      <c r="G1578" s="15"/>
    </row>
    <row r="1579" spans="7:7" x14ac:dyDescent="0.25">
      <c r="G1579" s="15"/>
    </row>
    <row r="1580" spans="7:7" x14ac:dyDescent="0.25">
      <c r="G1580" s="15"/>
    </row>
    <row r="1581" spans="7:7" x14ac:dyDescent="0.25">
      <c r="G1581" s="15"/>
    </row>
    <row r="1582" spans="7:7" x14ac:dyDescent="0.25">
      <c r="G1582" s="15"/>
    </row>
    <row r="1583" spans="7:7" x14ac:dyDescent="0.25">
      <c r="G1583" s="15"/>
    </row>
    <row r="1584" spans="7:7" x14ac:dyDescent="0.25">
      <c r="G1584" s="15"/>
    </row>
    <row r="1585" spans="7:7" x14ac:dyDescent="0.25">
      <c r="G1585" s="15"/>
    </row>
    <row r="1586" spans="7:7" x14ac:dyDescent="0.25">
      <c r="G1586" s="15"/>
    </row>
    <row r="1587" spans="7:7" x14ac:dyDescent="0.25">
      <c r="G1587" s="15"/>
    </row>
    <row r="1588" spans="7:7" x14ac:dyDescent="0.25">
      <c r="G1588" s="15"/>
    </row>
    <row r="1589" spans="7:7" x14ac:dyDescent="0.25">
      <c r="G1589" s="15"/>
    </row>
    <row r="1590" spans="7:7" x14ac:dyDescent="0.25">
      <c r="G1590" s="15"/>
    </row>
    <row r="1591" spans="7:7" x14ac:dyDescent="0.25">
      <c r="G1591" s="15"/>
    </row>
    <row r="1592" spans="7:7" x14ac:dyDescent="0.25">
      <c r="G1592" s="15"/>
    </row>
    <row r="1593" spans="7:7" x14ac:dyDescent="0.25">
      <c r="G1593" s="15"/>
    </row>
    <row r="1594" spans="7:7" x14ac:dyDescent="0.25">
      <c r="G1594" s="15"/>
    </row>
    <row r="1595" spans="7:7" x14ac:dyDescent="0.25">
      <c r="G1595" s="15"/>
    </row>
    <row r="1596" spans="7:7" x14ac:dyDescent="0.25">
      <c r="G1596" s="15"/>
    </row>
    <row r="1597" spans="7:7" x14ac:dyDescent="0.25">
      <c r="G1597" s="15"/>
    </row>
    <row r="1598" spans="7:7" x14ac:dyDescent="0.25">
      <c r="G1598" s="15"/>
    </row>
    <row r="1599" spans="7:7" x14ac:dyDescent="0.25">
      <c r="G1599" s="15"/>
    </row>
    <row r="1600" spans="7:7" x14ac:dyDescent="0.25">
      <c r="G1600" s="15"/>
    </row>
    <row r="1601" spans="7:7" x14ac:dyDescent="0.25">
      <c r="G1601" s="15"/>
    </row>
    <row r="1602" spans="7:7" x14ac:dyDescent="0.25">
      <c r="G1602" s="15"/>
    </row>
    <row r="1603" spans="7:7" x14ac:dyDescent="0.25">
      <c r="G1603" s="15"/>
    </row>
    <row r="1604" spans="7:7" x14ac:dyDescent="0.25">
      <c r="G1604" s="15"/>
    </row>
    <row r="1605" spans="7:7" x14ac:dyDescent="0.25">
      <c r="G1605" s="15"/>
    </row>
    <row r="1606" spans="7:7" x14ac:dyDescent="0.25">
      <c r="G1606" s="15"/>
    </row>
    <row r="1607" spans="7:7" x14ac:dyDescent="0.25">
      <c r="G1607" s="15"/>
    </row>
    <row r="1608" spans="7:7" x14ac:dyDescent="0.25">
      <c r="G1608" s="15"/>
    </row>
    <row r="1609" spans="7:7" x14ac:dyDescent="0.25">
      <c r="G1609" s="15"/>
    </row>
    <row r="1610" spans="7:7" x14ac:dyDescent="0.25">
      <c r="G1610" s="15"/>
    </row>
    <row r="1611" spans="7:7" x14ac:dyDescent="0.25">
      <c r="G1611" s="15"/>
    </row>
    <row r="1612" spans="7:7" x14ac:dyDescent="0.25">
      <c r="G1612" s="15"/>
    </row>
  </sheetData>
  <sortState xmlns:xlrd2="http://schemas.microsoft.com/office/spreadsheetml/2017/richdata2" ref="A2:J98">
    <sortCondition ref="A2:A98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C64A-AB5B-4D67-90EE-945F52988F91}">
  <dimension ref="A1:R38"/>
  <sheetViews>
    <sheetView tabSelected="1" topLeftCell="A7" workbookViewId="0">
      <selection activeCell="A2" sqref="A2:A38"/>
    </sheetView>
  </sheetViews>
  <sheetFormatPr defaultRowHeight="15" x14ac:dyDescent="0.25"/>
  <cols>
    <col min="1" max="1" width="4" customWidth="1"/>
    <col min="2" max="2" width="16.42578125" style="47" customWidth="1"/>
    <col min="3" max="3" width="4" customWidth="1"/>
    <col min="4" max="4" width="7" customWidth="1"/>
    <col min="5" max="5" width="9.140625" customWidth="1"/>
    <col min="19" max="19" width="12.7109375" customWidth="1"/>
  </cols>
  <sheetData>
    <row r="1" spans="1:18" ht="40.5" customHeight="1" x14ac:dyDescent="0.25">
      <c r="B1" s="54" t="s">
        <v>79</v>
      </c>
      <c r="C1" s="55"/>
      <c r="D1" s="55"/>
      <c r="E1" s="55"/>
      <c r="F1" s="55"/>
      <c r="G1" s="57" t="s">
        <v>143</v>
      </c>
      <c r="H1" s="57"/>
      <c r="I1" s="57"/>
      <c r="J1" s="57"/>
      <c r="K1" s="57"/>
      <c r="L1" s="57"/>
      <c r="M1" s="56" t="s">
        <v>144</v>
      </c>
      <c r="N1" s="55"/>
      <c r="O1" s="55"/>
      <c r="P1" s="55"/>
      <c r="Q1" s="55"/>
      <c r="R1" s="55"/>
    </row>
    <row r="2" spans="1:18" ht="23.25" customHeight="1" x14ac:dyDescent="0.25">
      <c r="A2" s="51" t="s">
        <v>77</v>
      </c>
      <c r="B2" s="48" t="s">
        <v>0</v>
      </c>
      <c r="C2" s="49" t="s">
        <v>71</v>
      </c>
      <c r="D2" s="49" t="s">
        <v>72</v>
      </c>
      <c r="E2" s="49" t="s">
        <v>73</v>
      </c>
    </row>
    <row r="3" spans="1:18" ht="23.25" customHeight="1" x14ac:dyDescent="0.25">
      <c r="A3" s="51">
        <v>1</v>
      </c>
      <c r="B3" s="50" t="s">
        <v>138</v>
      </c>
      <c r="C3" s="51">
        <v>1</v>
      </c>
      <c r="D3" s="51">
        <v>624</v>
      </c>
      <c r="E3" s="51">
        <v>3460</v>
      </c>
    </row>
    <row r="4" spans="1:18" ht="18" customHeight="1" x14ac:dyDescent="0.25">
      <c r="A4" s="51">
        <v>2</v>
      </c>
      <c r="B4" s="50" t="s">
        <v>116</v>
      </c>
      <c r="C4" s="51">
        <v>1</v>
      </c>
      <c r="D4" s="51">
        <v>693</v>
      </c>
      <c r="E4" s="51">
        <v>25032</v>
      </c>
    </row>
    <row r="5" spans="1:18" ht="18" customHeight="1" x14ac:dyDescent="0.25">
      <c r="A5" s="51">
        <v>3</v>
      </c>
      <c r="B5" s="50" t="s">
        <v>83</v>
      </c>
      <c r="C5" s="51">
        <v>2</v>
      </c>
      <c r="D5" s="51">
        <v>1257</v>
      </c>
      <c r="E5" s="51">
        <v>43975</v>
      </c>
    </row>
    <row r="6" spans="1:18" ht="31.5" customHeight="1" x14ac:dyDescent="0.25">
      <c r="A6" s="51">
        <v>4</v>
      </c>
      <c r="B6" s="50" t="s">
        <v>117</v>
      </c>
      <c r="C6" s="51">
        <v>2</v>
      </c>
      <c r="D6" s="51">
        <v>1561</v>
      </c>
      <c r="E6" s="51">
        <v>49305</v>
      </c>
    </row>
    <row r="7" spans="1:18" ht="18" customHeight="1" x14ac:dyDescent="0.25">
      <c r="A7" s="51">
        <v>5</v>
      </c>
      <c r="B7" s="50" t="s">
        <v>85</v>
      </c>
      <c r="C7" s="51">
        <v>1</v>
      </c>
      <c r="D7" s="51">
        <v>526</v>
      </c>
      <c r="E7" s="51">
        <v>15808</v>
      </c>
    </row>
    <row r="8" spans="1:18" ht="18" customHeight="1" x14ac:dyDescent="0.25">
      <c r="A8" s="51">
        <v>6</v>
      </c>
      <c r="B8" s="50" t="s">
        <v>118</v>
      </c>
      <c r="C8" s="51">
        <v>3</v>
      </c>
      <c r="D8" s="51">
        <v>1858</v>
      </c>
      <c r="E8" s="51">
        <v>61717</v>
      </c>
    </row>
    <row r="9" spans="1:18" ht="18" customHeight="1" x14ac:dyDescent="0.25">
      <c r="A9" s="51">
        <v>7</v>
      </c>
      <c r="B9" s="50" t="s">
        <v>87</v>
      </c>
      <c r="C9" s="51">
        <v>3</v>
      </c>
      <c r="D9" s="51">
        <v>2006</v>
      </c>
      <c r="E9" s="51">
        <v>57300</v>
      </c>
    </row>
    <row r="10" spans="1:18" ht="18" customHeight="1" x14ac:dyDescent="0.25">
      <c r="A10" s="51">
        <v>8</v>
      </c>
      <c r="B10" s="50" t="s">
        <v>88</v>
      </c>
      <c r="C10" s="51">
        <v>1</v>
      </c>
      <c r="D10" s="51">
        <v>652</v>
      </c>
      <c r="E10" s="51">
        <v>19352</v>
      </c>
    </row>
    <row r="11" spans="1:18" ht="18" customHeight="1" x14ac:dyDescent="0.25">
      <c r="A11" s="51">
        <v>9</v>
      </c>
      <c r="B11" s="62" t="s">
        <v>89</v>
      </c>
      <c r="C11" s="63">
        <v>3</v>
      </c>
      <c r="D11" s="63">
        <v>1883</v>
      </c>
      <c r="E11" s="63">
        <v>62568</v>
      </c>
    </row>
    <row r="12" spans="1:18" ht="18" customHeight="1" x14ac:dyDescent="0.25">
      <c r="A12" s="51">
        <v>10</v>
      </c>
      <c r="B12" s="50" t="s">
        <v>119</v>
      </c>
      <c r="C12" s="51">
        <v>3</v>
      </c>
      <c r="D12" s="51">
        <v>1835</v>
      </c>
      <c r="E12" s="51">
        <v>58620</v>
      </c>
    </row>
    <row r="13" spans="1:18" ht="18" customHeight="1" x14ac:dyDescent="0.25">
      <c r="A13" s="51">
        <v>11</v>
      </c>
      <c r="B13" s="50" t="s">
        <v>120</v>
      </c>
      <c r="C13" s="51">
        <v>1</v>
      </c>
      <c r="D13" s="51">
        <v>707</v>
      </c>
      <c r="E13" s="51">
        <v>22263</v>
      </c>
    </row>
    <row r="14" spans="1:18" ht="18" customHeight="1" x14ac:dyDescent="0.25">
      <c r="A14" s="51">
        <v>12</v>
      </c>
      <c r="B14" s="50" t="s">
        <v>121</v>
      </c>
      <c r="C14" s="51">
        <v>1</v>
      </c>
      <c r="D14" s="51">
        <v>706</v>
      </c>
      <c r="E14" s="51">
        <v>29380</v>
      </c>
    </row>
    <row r="15" spans="1:18" ht="18" customHeight="1" x14ac:dyDescent="0.25">
      <c r="A15" s="51">
        <v>13</v>
      </c>
      <c r="B15" s="50" t="s">
        <v>122</v>
      </c>
      <c r="C15" s="51">
        <v>2</v>
      </c>
      <c r="D15" s="51">
        <v>1254</v>
      </c>
      <c r="E15" s="51">
        <v>42868</v>
      </c>
    </row>
    <row r="16" spans="1:18" ht="18" customHeight="1" x14ac:dyDescent="0.25">
      <c r="A16" s="51">
        <v>14</v>
      </c>
      <c r="B16" s="50" t="s">
        <v>123</v>
      </c>
      <c r="C16" s="51">
        <v>1</v>
      </c>
      <c r="D16" s="51">
        <v>605</v>
      </c>
      <c r="E16" s="51">
        <v>19888</v>
      </c>
    </row>
    <row r="17" spans="1:5" ht="24.75" customHeight="1" x14ac:dyDescent="0.25">
      <c r="A17" s="51">
        <v>15</v>
      </c>
      <c r="B17" s="62" t="s">
        <v>95</v>
      </c>
      <c r="C17" s="63">
        <v>1</v>
      </c>
      <c r="D17" s="63">
        <v>730</v>
      </c>
      <c r="E17" s="63">
        <v>9278</v>
      </c>
    </row>
    <row r="18" spans="1:5" ht="18" customHeight="1" x14ac:dyDescent="0.25">
      <c r="A18" s="51">
        <v>16</v>
      </c>
      <c r="B18" s="50" t="s">
        <v>124</v>
      </c>
      <c r="C18" s="51">
        <v>1</v>
      </c>
      <c r="D18" s="51">
        <v>499</v>
      </c>
      <c r="E18" s="51">
        <v>12085</v>
      </c>
    </row>
    <row r="19" spans="1:5" ht="18" customHeight="1" x14ac:dyDescent="0.25">
      <c r="A19" s="51">
        <v>17</v>
      </c>
      <c r="B19" s="50" t="s">
        <v>125</v>
      </c>
      <c r="C19" s="51">
        <v>1</v>
      </c>
      <c r="D19" s="51">
        <v>712</v>
      </c>
      <c r="E19" s="51">
        <v>29205</v>
      </c>
    </row>
    <row r="20" spans="1:5" ht="18" customHeight="1" x14ac:dyDescent="0.25">
      <c r="A20" s="51">
        <v>18</v>
      </c>
      <c r="B20" s="62" t="s">
        <v>98</v>
      </c>
      <c r="C20" s="63">
        <v>2</v>
      </c>
      <c r="D20" s="63">
        <v>1803</v>
      </c>
      <c r="E20" s="63">
        <v>67595</v>
      </c>
    </row>
    <row r="21" spans="1:5" ht="18" customHeight="1" x14ac:dyDescent="0.25">
      <c r="A21" s="51">
        <v>19</v>
      </c>
      <c r="B21" s="62" t="s">
        <v>99</v>
      </c>
      <c r="C21" s="63">
        <v>1</v>
      </c>
      <c r="D21" s="63">
        <v>743</v>
      </c>
      <c r="E21" s="63">
        <v>20955</v>
      </c>
    </row>
    <row r="22" spans="1:5" ht="18" customHeight="1" x14ac:dyDescent="0.25">
      <c r="A22" s="51">
        <v>20</v>
      </c>
      <c r="B22" s="50" t="s">
        <v>126</v>
      </c>
      <c r="C22" s="51">
        <v>3</v>
      </c>
      <c r="D22" s="51">
        <v>2641</v>
      </c>
      <c r="E22" s="51">
        <v>92815</v>
      </c>
    </row>
    <row r="23" spans="1:5" ht="18" customHeight="1" x14ac:dyDescent="0.25">
      <c r="A23" s="51">
        <v>21</v>
      </c>
      <c r="B23" s="50" t="s">
        <v>101</v>
      </c>
      <c r="C23" s="51">
        <v>1</v>
      </c>
      <c r="D23" s="51">
        <v>911</v>
      </c>
      <c r="E23" s="51">
        <v>28578</v>
      </c>
    </row>
    <row r="24" spans="1:5" ht="18" customHeight="1" x14ac:dyDescent="0.25">
      <c r="A24" s="51">
        <v>22</v>
      </c>
      <c r="B24" s="50" t="s">
        <v>127</v>
      </c>
      <c r="C24" s="51">
        <v>1</v>
      </c>
      <c r="D24" s="51">
        <v>818</v>
      </c>
      <c r="E24" s="51">
        <v>26235</v>
      </c>
    </row>
    <row r="25" spans="1:5" ht="18" customHeight="1" x14ac:dyDescent="0.25">
      <c r="A25" s="51">
        <v>23</v>
      </c>
      <c r="B25" s="50" t="s">
        <v>128</v>
      </c>
      <c r="C25" s="51">
        <v>1</v>
      </c>
      <c r="D25" s="51">
        <v>819</v>
      </c>
      <c r="E25" s="51">
        <v>18325</v>
      </c>
    </row>
    <row r="26" spans="1:5" ht="18" customHeight="1" x14ac:dyDescent="0.25">
      <c r="A26" s="51">
        <v>24</v>
      </c>
      <c r="B26" s="50" t="s">
        <v>129</v>
      </c>
      <c r="C26" s="51">
        <v>1</v>
      </c>
      <c r="D26" s="51">
        <v>646</v>
      </c>
      <c r="E26" s="51">
        <v>19498</v>
      </c>
    </row>
    <row r="27" spans="1:5" ht="18" customHeight="1" x14ac:dyDescent="0.25">
      <c r="A27" s="51">
        <v>26</v>
      </c>
      <c r="B27" s="50" t="s">
        <v>130</v>
      </c>
      <c r="C27" s="51">
        <v>1</v>
      </c>
      <c r="D27" s="51">
        <v>917</v>
      </c>
      <c r="E27" s="51">
        <v>31863</v>
      </c>
    </row>
    <row r="28" spans="1:5" ht="28.5" customHeight="1" x14ac:dyDescent="0.25">
      <c r="A28" s="51">
        <v>27</v>
      </c>
      <c r="B28" s="50" t="s">
        <v>131</v>
      </c>
      <c r="C28" s="51">
        <v>2</v>
      </c>
      <c r="D28" s="51">
        <v>610</v>
      </c>
      <c r="E28" s="51">
        <v>6100</v>
      </c>
    </row>
    <row r="29" spans="1:5" ht="24.75" customHeight="1" x14ac:dyDescent="0.25">
      <c r="A29" s="51">
        <v>28</v>
      </c>
      <c r="B29" s="62" t="s">
        <v>132</v>
      </c>
      <c r="C29" s="63">
        <v>6</v>
      </c>
      <c r="D29" s="63">
        <v>5446</v>
      </c>
      <c r="E29" s="63">
        <v>186825</v>
      </c>
    </row>
    <row r="30" spans="1:5" ht="23.25" customHeight="1" x14ac:dyDescent="0.25">
      <c r="A30" s="51">
        <v>29</v>
      </c>
      <c r="B30" s="50" t="s">
        <v>133</v>
      </c>
      <c r="C30" s="51">
        <v>1</v>
      </c>
      <c r="D30" s="51">
        <v>176</v>
      </c>
      <c r="E30" s="51">
        <v>2170</v>
      </c>
    </row>
    <row r="31" spans="1:5" ht="18" customHeight="1" x14ac:dyDescent="0.25">
      <c r="A31" s="51">
        <v>30</v>
      </c>
      <c r="B31" s="50" t="s">
        <v>109</v>
      </c>
      <c r="C31" s="51">
        <v>1</v>
      </c>
      <c r="D31" s="51">
        <v>912</v>
      </c>
      <c r="E31" s="51">
        <v>31928</v>
      </c>
    </row>
    <row r="32" spans="1:5" ht="18" customHeight="1" x14ac:dyDescent="0.25">
      <c r="A32" s="51">
        <v>31</v>
      </c>
      <c r="B32" s="50" t="s">
        <v>134</v>
      </c>
      <c r="C32" s="51">
        <v>2</v>
      </c>
      <c r="D32" s="51">
        <v>1828</v>
      </c>
      <c r="E32" s="51">
        <v>55502</v>
      </c>
    </row>
    <row r="33" spans="1:5" ht="18" customHeight="1" x14ac:dyDescent="0.25">
      <c r="A33" s="51">
        <v>32</v>
      </c>
      <c r="B33" s="50" t="s">
        <v>135</v>
      </c>
      <c r="C33" s="51">
        <v>2</v>
      </c>
      <c r="D33" s="51">
        <v>1075</v>
      </c>
      <c r="E33" s="51">
        <v>34200</v>
      </c>
    </row>
    <row r="34" spans="1:5" ht="18" customHeight="1" x14ac:dyDescent="0.25">
      <c r="A34" s="51">
        <v>33</v>
      </c>
      <c r="B34" s="50" t="s">
        <v>136</v>
      </c>
      <c r="C34" s="51">
        <v>1</v>
      </c>
      <c r="D34" s="51">
        <v>896</v>
      </c>
      <c r="E34" s="51">
        <v>31670</v>
      </c>
    </row>
    <row r="35" spans="1:5" ht="18" customHeight="1" x14ac:dyDescent="0.25">
      <c r="A35" s="51">
        <v>34</v>
      </c>
      <c r="B35" s="50" t="s">
        <v>113</v>
      </c>
      <c r="C35" s="51">
        <v>2</v>
      </c>
      <c r="D35" s="51">
        <v>1804</v>
      </c>
      <c r="E35" s="51">
        <v>59563</v>
      </c>
    </row>
    <row r="36" spans="1:5" ht="18" customHeight="1" x14ac:dyDescent="0.25">
      <c r="A36" s="51">
        <v>35</v>
      </c>
      <c r="B36" s="50" t="s">
        <v>115</v>
      </c>
      <c r="C36" s="51">
        <v>2</v>
      </c>
      <c r="D36" s="51">
        <v>1255</v>
      </c>
      <c r="E36" s="51">
        <v>47970</v>
      </c>
    </row>
    <row r="37" spans="1:5" ht="18" customHeight="1" x14ac:dyDescent="0.25">
      <c r="A37" s="51">
        <v>36</v>
      </c>
      <c r="B37" s="50" t="s">
        <v>137</v>
      </c>
      <c r="C37" s="51">
        <v>2</v>
      </c>
      <c r="D37" s="51">
        <v>1584</v>
      </c>
      <c r="E37" s="51">
        <v>46488</v>
      </c>
    </row>
    <row r="38" spans="1:5" ht="18" customHeight="1" x14ac:dyDescent="0.25">
      <c r="A38" s="51">
        <v>37</v>
      </c>
      <c r="B38" s="52" t="s">
        <v>78</v>
      </c>
      <c r="C38" s="53">
        <f>SUM(C3:C37)</f>
        <v>60</v>
      </c>
      <c r="D38" s="53">
        <v>42992</v>
      </c>
      <c r="E38" s="53">
        <v>1370384</v>
      </c>
    </row>
  </sheetData>
  <mergeCells count="3">
    <mergeCell ref="B1:F1"/>
    <mergeCell ref="M1:R1"/>
    <mergeCell ref="G1:L1"/>
  </mergeCells>
  <pageMargins left="0.11811023622047245" right="0.31496062992125984" top="0.35433070866141736" bottom="0" header="0.11811023622047245" footer="0.11811023622047245"/>
  <pageSetup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00408-B0E8-4C45-8B9E-DE6AC45C2506}">
  <dimension ref="A1:N38"/>
  <sheetViews>
    <sheetView workbookViewId="0">
      <selection activeCell="P4" sqref="P4"/>
    </sheetView>
  </sheetViews>
  <sheetFormatPr defaultRowHeight="15" x14ac:dyDescent="0.25"/>
  <cols>
    <col min="1" max="1" width="5.28515625" customWidth="1"/>
    <col min="2" max="2" width="25.140625" customWidth="1"/>
    <col min="3" max="3" width="7.7109375" customWidth="1"/>
  </cols>
  <sheetData>
    <row r="1" spans="1:14" ht="45.75" customHeight="1" x14ac:dyDescent="0.25">
      <c r="B1" s="58" t="s">
        <v>80</v>
      </c>
      <c r="C1" s="59"/>
    </row>
    <row r="2" spans="1:14" ht="30" customHeight="1" x14ac:dyDescent="0.25">
      <c r="A2" s="41" t="s">
        <v>77</v>
      </c>
      <c r="B2" s="42" t="s">
        <v>0</v>
      </c>
      <c r="C2" s="11" t="s">
        <v>72</v>
      </c>
      <c r="F2" s="60" t="s">
        <v>142</v>
      </c>
      <c r="G2" s="60"/>
      <c r="H2" s="60"/>
      <c r="I2" s="60"/>
      <c r="J2" s="60"/>
      <c r="K2" s="60"/>
      <c r="L2" s="60"/>
    </row>
    <row r="3" spans="1:14" ht="30.75" customHeight="1" x14ac:dyDescent="0.25">
      <c r="A3" s="12">
        <v>1</v>
      </c>
      <c r="B3" s="44" t="s">
        <v>81</v>
      </c>
      <c r="C3" s="12">
        <v>624</v>
      </c>
    </row>
    <row r="4" spans="1:14" ht="23.25" customHeight="1" x14ac:dyDescent="0.25">
      <c r="A4" s="12">
        <v>2</v>
      </c>
      <c r="B4" s="41" t="s">
        <v>82</v>
      </c>
      <c r="C4" s="12">
        <v>693</v>
      </c>
    </row>
    <row r="5" spans="1:14" ht="23.25" customHeight="1" x14ac:dyDescent="0.25">
      <c r="A5" s="12">
        <v>3</v>
      </c>
      <c r="B5" s="41" t="s">
        <v>83</v>
      </c>
      <c r="C5" s="12">
        <v>1257</v>
      </c>
      <c r="F5" s="55"/>
      <c r="G5" s="55"/>
      <c r="H5" s="55"/>
      <c r="I5" s="55"/>
      <c r="J5" s="55"/>
      <c r="K5" s="55"/>
      <c r="L5" s="55"/>
      <c r="M5" s="55"/>
      <c r="N5" s="55"/>
    </row>
    <row r="6" spans="1:14" ht="23.25" customHeight="1" x14ac:dyDescent="0.25">
      <c r="A6" s="12">
        <v>4</v>
      </c>
      <c r="B6" s="41" t="s">
        <v>84</v>
      </c>
      <c r="C6" s="12">
        <v>1561</v>
      </c>
    </row>
    <row r="7" spans="1:14" ht="23.25" customHeight="1" x14ac:dyDescent="0.25">
      <c r="A7" s="12">
        <v>5</v>
      </c>
      <c r="B7" s="41" t="s">
        <v>85</v>
      </c>
      <c r="C7" s="12">
        <v>526</v>
      </c>
    </row>
    <row r="8" spans="1:14" ht="23.25" customHeight="1" x14ac:dyDescent="0.25">
      <c r="A8" s="12">
        <v>6</v>
      </c>
      <c r="B8" s="41" t="s">
        <v>86</v>
      </c>
      <c r="C8" s="12">
        <v>1858</v>
      </c>
    </row>
    <row r="9" spans="1:14" ht="23.25" customHeight="1" x14ac:dyDescent="0.25">
      <c r="A9" s="12">
        <v>7</v>
      </c>
      <c r="B9" s="41" t="s">
        <v>87</v>
      </c>
      <c r="C9" s="12">
        <v>2006</v>
      </c>
    </row>
    <row r="10" spans="1:14" ht="23.25" customHeight="1" x14ac:dyDescent="0.25">
      <c r="A10" s="12">
        <v>8</v>
      </c>
      <c r="B10" s="41" t="s">
        <v>88</v>
      </c>
      <c r="C10" s="12">
        <v>652</v>
      </c>
    </row>
    <row r="11" spans="1:14" ht="23.25" customHeight="1" x14ac:dyDescent="0.25">
      <c r="A11" s="12">
        <v>9</v>
      </c>
      <c r="B11" s="41" t="s">
        <v>89</v>
      </c>
      <c r="C11" s="12">
        <v>1883</v>
      </c>
    </row>
    <row r="12" spans="1:14" ht="23.25" customHeight="1" x14ac:dyDescent="0.25">
      <c r="A12" s="12">
        <v>10</v>
      </c>
      <c r="B12" s="41" t="s">
        <v>90</v>
      </c>
      <c r="C12" s="12">
        <v>1835</v>
      </c>
    </row>
    <row r="13" spans="1:14" ht="23.25" customHeight="1" x14ac:dyDescent="0.25">
      <c r="A13" s="12">
        <v>11</v>
      </c>
      <c r="B13" s="41" t="s">
        <v>91</v>
      </c>
      <c r="C13" s="12">
        <v>707</v>
      </c>
    </row>
    <row r="14" spans="1:14" ht="23.25" customHeight="1" x14ac:dyDescent="0.25">
      <c r="A14" s="12">
        <v>12</v>
      </c>
      <c r="B14" s="41" t="s">
        <v>92</v>
      </c>
      <c r="C14" s="12">
        <v>706</v>
      </c>
    </row>
    <row r="15" spans="1:14" ht="23.25" customHeight="1" x14ac:dyDescent="0.25">
      <c r="A15" s="12">
        <v>13</v>
      </c>
      <c r="B15" s="41" t="s">
        <v>93</v>
      </c>
      <c r="C15" s="12">
        <v>1254</v>
      </c>
    </row>
    <row r="16" spans="1:14" ht="23.25" customHeight="1" x14ac:dyDescent="0.25">
      <c r="A16" s="12">
        <v>14</v>
      </c>
      <c r="B16" s="41" t="s">
        <v>94</v>
      </c>
      <c r="C16" s="12">
        <v>605</v>
      </c>
    </row>
    <row r="17" spans="1:3" ht="30" customHeight="1" x14ac:dyDescent="0.25">
      <c r="A17" s="12">
        <v>15</v>
      </c>
      <c r="B17" s="44" t="s">
        <v>95</v>
      </c>
      <c r="C17" s="12">
        <v>730</v>
      </c>
    </row>
    <row r="18" spans="1:3" ht="23.25" customHeight="1" x14ac:dyDescent="0.25">
      <c r="A18" s="12">
        <v>16</v>
      </c>
      <c r="B18" s="41" t="s">
        <v>96</v>
      </c>
      <c r="C18" s="12">
        <v>499</v>
      </c>
    </row>
    <row r="19" spans="1:3" ht="23.25" customHeight="1" x14ac:dyDescent="0.25">
      <c r="A19" s="12">
        <v>17</v>
      </c>
      <c r="B19" s="41" t="s">
        <v>97</v>
      </c>
      <c r="C19" s="12">
        <v>712</v>
      </c>
    </row>
    <row r="20" spans="1:3" ht="23.25" customHeight="1" x14ac:dyDescent="0.25">
      <c r="A20" s="12">
        <v>18</v>
      </c>
      <c r="B20" s="41" t="s">
        <v>98</v>
      </c>
      <c r="C20" s="12">
        <v>1803</v>
      </c>
    </row>
    <row r="21" spans="1:3" ht="23.25" customHeight="1" x14ac:dyDescent="0.25">
      <c r="A21" s="12">
        <v>19</v>
      </c>
      <c r="B21" s="41" t="s">
        <v>99</v>
      </c>
      <c r="C21" s="12">
        <v>743</v>
      </c>
    </row>
    <row r="22" spans="1:3" ht="23.25" customHeight="1" x14ac:dyDescent="0.25">
      <c r="A22" s="12">
        <v>20</v>
      </c>
      <c r="B22" s="41" t="s">
        <v>100</v>
      </c>
      <c r="C22" s="12">
        <v>2641</v>
      </c>
    </row>
    <row r="23" spans="1:3" ht="23.25" customHeight="1" x14ac:dyDescent="0.25">
      <c r="A23" s="12">
        <v>21</v>
      </c>
      <c r="B23" s="41" t="s">
        <v>101</v>
      </c>
      <c r="C23" s="12">
        <v>911</v>
      </c>
    </row>
    <row r="24" spans="1:3" ht="23.25" customHeight="1" x14ac:dyDescent="0.25">
      <c r="A24" s="12">
        <v>22</v>
      </c>
      <c r="B24" s="41" t="s">
        <v>102</v>
      </c>
      <c r="C24" s="12">
        <v>818</v>
      </c>
    </row>
    <row r="25" spans="1:3" ht="23.25" customHeight="1" x14ac:dyDescent="0.25">
      <c r="A25" s="12">
        <v>23</v>
      </c>
      <c r="B25" s="41" t="s">
        <v>103</v>
      </c>
      <c r="C25" s="12">
        <v>819</v>
      </c>
    </row>
    <row r="26" spans="1:3" ht="23.25" customHeight="1" x14ac:dyDescent="0.25">
      <c r="A26" s="12">
        <v>24</v>
      </c>
      <c r="B26" s="41" t="s">
        <v>104</v>
      </c>
      <c r="C26" s="12">
        <v>646</v>
      </c>
    </row>
    <row r="27" spans="1:3" ht="23.25" customHeight="1" x14ac:dyDescent="0.25">
      <c r="A27" s="12">
        <v>26</v>
      </c>
      <c r="B27" s="41" t="s">
        <v>105</v>
      </c>
      <c r="C27" s="12">
        <v>917</v>
      </c>
    </row>
    <row r="28" spans="1:3" ht="23.25" customHeight="1" x14ac:dyDescent="0.25">
      <c r="A28" s="12">
        <v>27</v>
      </c>
      <c r="B28" s="41" t="s">
        <v>106</v>
      </c>
      <c r="C28" s="12">
        <v>610</v>
      </c>
    </row>
    <row r="29" spans="1:3" ht="23.25" customHeight="1" x14ac:dyDescent="0.25">
      <c r="A29" s="12">
        <v>28</v>
      </c>
      <c r="B29" s="41" t="s">
        <v>107</v>
      </c>
      <c r="C29" s="12">
        <v>5446</v>
      </c>
    </row>
    <row r="30" spans="1:3" ht="23.25" customHeight="1" x14ac:dyDescent="0.25">
      <c r="A30" s="12">
        <v>29</v>
      </c>
      <c r="B30" s="41" t="s">
        <v>108</v>
      </c>
      <c r="C30" s="12">
        <v>176</v>
      </c>
    </row>
    <row r="31" spans="1:3" ht="23.25" customHeight="1" x14ac:dyDescent="0.25">
      <c r="A31" s="12">
        <v>30</v>
      </c>
      <c r="B31" s="41" t="s">
        <v>109</v>
      </c>
      <c r="C31" s="12">
        <v>912</v>
      </c>
    </row>
    <row r="32" spans="1:3" ht="23.25" customHeight="1" x14ac:dyDescent="0.25">
      <c r="A32" s="12">
        <v>31</v>
      </c>
      <c r="B32" s="41" t="s">
        <v>110</v>
      </c>
      <c r="C32" s="12">
        <v>1828</v>
      </c>
    </row>
    <row r="33" spans="1:3" ht="23.25" customHeight="1" x14ac:dyDescent="0.25">
      <c r="A33" s="12">
        <v>32</v>
      </c>
      <c r="B33" s="41" t="s">
        <v>111</v>
      </c>
      <c r="C33" s="12">
        <v>1075</v>
      </c>
    </row>
    <row r="34" spans="1:3" ht="23.25" customHeight="1" x14ac:dyDescent="0.25">
      <c r="A34" s="12">
        <v>33</v>
      </c>
      <c r="B34" s="41" t="s">
        <v>112</v>
      </c>
      <c r="C34" s="12">
        <v>896</v>
      </c>
    </row>
    <row r="35" spans="1:3" ht="23.25" customHeight="1" x14ac:dyDescent="0.25">
      <c r="A35" s="12">
        <v>34</v>
      </c>
      <c r="B35" s="41" t="s">
        <v>113</v>
      </c>
      <c r="C35" s="12">
        <v>1804</v>
      </c>
    </row>
    <row r="36" spans="1:3" ht="23.25" customHeight="1" x14ac:dyDescent="0.25">
      <c r="A36" s="12">
        <v>35</v>
      </c>
      <c r="B36" s="41" t="s">
        <v>115</v>
      </c>
      <c r="C36" s="12">
        <v>1255</v>
      </c>
    </row>
    <row r="37" spans="1:3" ht="23.25" customHeight="1" x14ac:dyDescent="0.25">
      <c r="A37" s="12">
        <v>36</v>
      </c>
      <c r="B37" s="41" t="s">
        <v>114</v>
      </c>
      <c r="C37" s="12">
        <v>1584</v>
      </c>
    </row>
    <row r="38" spans="1:3" x14ac:dyDescent="0.25">
      <c r="A38" s="12">
        <v>37</v>
      </c>
      <c r="B38" s="43" t="s">
        <v>78</v>
      </c>
      <c r="C38" s="12">
        <v>42992</v>
      </c>
    </row>
  </sheetData>
  <mergeCells count="3">
    <mergeCell ref="B1:C1"/>
    <mergeCell ref="F2:L2"/>
    <mergeCell ref="F5:N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F829-1C1D-4055-81E6-4429F0B1ED24}">
  <dimension ref="A1:N37"/>
  <sheetViews>
    <sheetView topLeftCell="A13" workbookViewId="0">
      <selection activeCell="R32" sqref="R32"/>
    </sheetView>
  </sheetViews>
  <sheetFormatPr defaultRowHeight="15" x14ac:dyDescent="0.25"/>
  <cols>
    <col min="1" max="1" width="35.7109375" customWidth="1"/>
    <col min="2" max="2" width="13.85546875" customWidth="1"/>
  </cols>
  <sheetData>
    <row r="1" spans="1:14" ht="33" customHeight="1" x14ac:dyDescent="0.25">
      <c r="A1" s="42" t="s">
        <v>139</v>
      </c>
      <c r="B1" s="11" t="s">
        <v>73</v>
      </c>
    </row>
    <row r="2" spans="1:14" ht="33.75" customHeight="1" x14ac:dyDescent="0.3">
      <c r="A2" s="44" t="s">
        <v>140</v>
      </c>
      <c r="B2" s="45">
        <v>3460</v>
      </c>
      <c r="H2" s="61" t="s">
        <v>141</v>
      </c>
      <c r="I2" s="61"/>
      <c r="J2" s="61"/>
      <c r="K2" s="61"/>
      <c r="L2" s="61"/>
      <c r="M2" s="61"/>
      <c r="N2" s="61"/>
    </row>
    <row r="3" spans="1:14" ht="21.75" customHeight="1" x14ac:dyDescent="0.3">
      <c r="A3" s="41" t="s">
        <v>116</v>
      </c>
      <c r="B3" s="45">
        <v>25032</v>
      </c>
    </row>
    <row r="4" spans="1:14" ht="21.75" customHeight="1" x14ac:dyDescent="0.3">
      <c r="A4" s="41" t="s">
        <v>83</v>
      </c>
      <c r="B4" s="45">
        <v>43975</v>
      </c>
    </row>
    <row r="5" spans="1:14" ht="21.75" customHeight="1" x14ac:dyDescent="0.3">
      <c r="A5" s="41" t="s">
        <v>117</v>
      </c>
      <c r="B5" s="45">
        <v>49305</v>
      </c>
    </row>
    <row r="6" spans="1:14" ht="21.75" customHeight="1" x14ac:dyDescent="0.3">
      <c r="A6" s="41" t="s">
        <v>85</v>
      </c>
      <c r="B6" s="45">
        <v>15808</v>
      </c>
    </row>
    <row r="7" spans="1:14" ht="21.75" customHeight="1" x14ac:dyDescent="0.3">
      <c r="A7" s="41" t="s">
        <v>118</v>
      </c>
      <c r="B7" s="45">
        <v>61717</v>
      </c>
    </row>
    <row r="8" spans="1:14" ht="21.75" customHeight="1" x14ac:dyDescent="0.3">
      <c r="A8" s="41" t="s">
        <v>87</v>
      </c>
      <c r="B8" s="45">
        <v>57300</v>
      </c>
    </row>
    <row r="9" spans="1:14" ht="21.75" customHeight="1" x14ac:dyDescent="0.3">
      <c r="A9" s="41" t="s">
        <v>88</v>
      </c>
      <c r="B9" s="45">
        <v>19352</v>
      </c>
    </row>
    <row r="10" spans="1:14" ht="21.75" customHeight="1" x14ac:dyDescent="0.3">
      <c r="A10" s="41" t="s">
        <v>89</v>
      </c>
      <c r="B10" s="45">
        <v>62568</v>
      </c>
    </row>
    <row r="11" spans="1:14" ht="21.75" customHeight="1" x14ac:dyDescent="0.3">
      <c r="A11" s="41" t="s">
        <v>119</v>
      </c>
      <c r="B11" s="45">
        <v>58620</v>
      </c>
    </row>
    <row r="12" spans="1:14" ht="21.75" customHeight="1" x14ac:dyDescent="0.3">
      <c r="A12" s="41" t="s">
        <v>120</v>
      </c>
      <c r="B12" s="45">
        <v>22263</v>
      </c>
    </row>
    <row r="13" spans="1:14" ht="21.75" customHeight="1" x14ac:dyDescent="0.3">
      <c r="A13" s="41" t="s">
        <v>121</v>
      </c>
      <c r="B13" s="45">
        <v>29380</v>
      </c>
    </row>
    <row r="14" spans="1:14" ht="21.75" customHeight="1" x14ac:dyDescent="0.3">
      <c r="A14" s="41" t="s">
        <v>122</v>
      </c>
      <c r="B14" s="45">
        <v>42868</v>
      </c>
    </row>
    <row r="15" spans="1:14" ht="21.75" customHeight="1" x14ac:dyDescent="0.3">
      <c r="A15" s="41" t="s">
        <v>123</v>
      </c>
      <c r="B15" s="45">
        <v>19888</v>
      </c>
    </row>
    <row r="16" spans="1:14" ht="21.75" customHeight="1" x14ac:dyDescent="0.3">
      <c r="A16" s="41" t="s">
        <v>95</v>
      </c>
      <c r="B16" s="45">
        <v>9278</v>
      </c>
    </row>
    <row r="17" spans="1:2" ht="21.75" customHeight="1" x14ac:dyDescent="0.3">
      <c r="A17" s="41" t="s">
        <v>124</v>
      </c>
      <c r="B17" s="45">
        <v>12085</v>
      </c>
    </row>
    <row r="18" spans="1:2" ht="21.75" customHeight="1" x14ac:dyDescent="0.3">
      <c r="A18" s="41" t="s">
        <v>125</v>
      </c>
      <c r="B18" s="45">
        <v>29205</v>
      </c>
    </row>
    <row r="19" spans="1:2" ht="21.75" customHeight="1" x14ac:dyDescent="0.3">
      <c r="A19" s="41" t="s">
        <v>98</v>
      </c>
      <c r="B19" s="45">
        <v>67595</v>
      </c>
    </row>
    <row r="20" spans="1:2" ht="21.75" customHeight="1" x14ac:dyDescent="0.3">
      <c r="A20" s="41" t="s">
        <v>99</v>
      </c>
      <c r="B20" s="45">
        <v>20955</v>
      </c>
    </row>
    <row r="21" spans="1:2" ht="21.75" customHeight="1" x14ac:dyDescent="0.3">
      <c r="A21" s="41" t="s">
        <v>126</v>
      </c>
      <c r="B21" s="45">
        <v>92815</v>
      </c>
    </row>
    <row r="22" spans="1:2" ht="21.75" customHeight="1" x14ac:dyDescent="0.3">
      <c r="A22" s="41" t="s">
        <v>101</v>
      </c>
      <c r="B22" s="45">
        <v>28578</v>
      </c>
    </row>
    <row r="23" spans="1:2" ht="21.75" customHeight="1" x14ac:dyDescent="0.3">
      <c r="A23" s="41" t="s">
        <v>127</v>
      </c>
      <c r="B23" s="45">
        <v>26235</v>
      </c>
    </row>
    <row r="24" spans="1:2" ht="21.75" customHeight="1" x14ac:dyDescent="0.3">
      <c r="A24" s="41" t="s">
        <v>128</v>
      </c>
      <c r="B24" s="45">
        <v>18325</v>
      </c>
    </row>
    <row r="25" spans="1:2" ht="21.75" customHeight="1" x14ac:dyDescent="0.3">
      <c r="A25" s="41" t="s">
        <v>129</v>
      </c>
      <c r="B25" s="45">
        <v>19498</v>
      </c>
    </row>
    <row r="26" spans="1:2" ht="21.75" customHeight="1" x14ac:dyDescent="0.3">
      <c r="A26" s="41" t="s">
        <v>130</v>
      </c>
      <c r="B26" s="45">
        <v>31863</v>
      </c>
    </row>
    <row r="27" spans="1:2" ht="21.75" customHeight="1" x14ac:dyDescent="0.3">
      <c r="A27" s="41" t="s">
        <v>131</v>
      </c>
      <c r="B27" s="45">
        <v>6100</v>
      </c>
    </row>
    <row r="28" spans="1:2" ht="21.75" customHeight="1" x14ac:dyDescent="0.3">
      <c r="A28" s="41" t="s">
        <v>132</v>
      </c>
      <c r="B28" s="45">
        <v>186825</v>
      </c>
    </row>
    <row r="29" spans="1:2" ht="21.75" customHeight="1" x14ac:dyDescent="0.3">
      <c r="A29" s="41" t="s">
        <v>133</v>
      </c>
      <c r="B29" s="45">
        <v>2170</v>
      </c>
    </row>
    <row r="30" spans="1:2" ht="21.75" customHeight="1" x14ac:dyDescent="0.3">
      <c r="A30" s="41" t="s">
        <v>109</v>
      </c>
      <c r="B30" s="45">
        <v>31928</v>
      </c>
    </row>
    <row r="31" spans="1:2" ht="21.75" customHeight="1" x14ac:dyDescent="0.3">
      <c r="A31" s="41" t="s">
        <v>134</v>
      </c>
      <c r="B31" s="45">
        <v>55502</v>
      </c>
    </row>
    <row r="32" spans="1:2" ht="21.75" customHeight="1" x14ac:dyDescent="0.3">
      <c r="A32" s="41" t="s">
        <v>135</v>
      </c>
      <c r="B32" s="45">
        <v>34200</v>
      </c>
    </row>
    <row r="33" spans="1:2" ht="21.75" customHeight="1" x14ac:dyDescent="0.3">
      <c r="A33" s="41" t="s">
        <v>136</v>
      </c>
      <c r="B33" s="45">
        <v>31670</v>
      </c>
    </row>
    <row r="34" spans="1:2" ht="21.75" customHeight="1" x14ac:dyDescent="0.3">
      <c r="A34" s="41" t="s">
        <v>113</v>
      </c>
      <c r="B34" s="45">
        <v>59563</v>
      </c>
    </row>
    <row r="35" spans="1:2" ht="21.75" customHeight="1" x14ac:dyDescent="0.3">
      <c r="A35" s="41" t="s">
        <v>115</v>
      </c>
      <c r="B35" s="45">
        <v>47970</v>
      </c>
    </row>
    <row r="36" spans="1:2" ht="21.75" customHeight="1" x14ac:dyDescent="0.3">
      <c r="A36" s="41" t="s">
        <v>137</v>
      </c>
      <c r="B36" s="45">
        <v>46488</v>
      </c>
    </row>
    <row r="37" spans="1:2" ht="18.75" x14ac:dyDescent="0.3">
      <c r="A37" s="12"/>
      <c r="B37" s="46">
        <v>1370384</v>
      </c>
    </row>
  </sheetData>
  <mergeCells count="1">
    <mergeCell ref="H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Sheet1</vt:lpstr>
      <vt:lpstr>Foaie1</vt:lpstr>
      <vt:lpstr>Foaie2</vt:lpstr>
      <vt:lpstr>Foaie3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rozalia.mogosan</dc:creator>
  <cp:lastModifiedBy>rozalia.mogosan</cp:lastModifiedBy>
  <cp:lastPrinted>2020-02-13T07:07:42Z</cp:lastPrinted>
  <dcterms:created xsi:type="dcterms:W3CDTF">2019-12-06T09:16:43Z</dcterms:created>
  <dcterms:modified xsi:type="dcterms:W3CDTF">2020-04-08T12:50:45Z</dcterms:modified>
</cp:coreProperties>
</file>